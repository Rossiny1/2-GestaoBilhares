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20" yWindow="540" windowWidth="24240" windowHeight="11955" activeTab="9"/>
  </bookViews>
  <sheets>
    <sheet name="1º Acerto" sheetId="1" r:id="rId1"/>
    <sheet name="2º Acerto " sheetId="2" r:id="rId2"/>
    <sheet name="3º Acerto" sheetId="3" r:id="rId3"/>
    <sheet name="4º Acerto" sheetId="4" r:id="rId4"/>
    <sheet name="5º Acerto" sheetId="5" r:id="rId5"/>
    <sheet name="6º Acerto" sheetId="6" r:id="rId6"/>
    <sheet name="7º Acerto" sheetId="7" r:id="rId7"/>
    <sheet name="8º Acerto" sheetId="8" r:id="rId8"/>
    <sheet name="9º Acerto" sheetId="9" r:id="rId9"/>
    <sheet name="10º Acerto" sheetId="10" r:id="rId10"/>
    <sheet name="11º Acerto" sheetId="11" r:id="rId11"/>
    <sheet name="12º Acerto" sheetId="12" r:id="rId12"/>
    <sheet name="Fechamento Ano" sheetId="13" r:id="rId13"/>
    <sheet name="Patrimonio Rossiny  Mãe" sheetId="14" r:id="rId14"/>
  </sheets>
  <calcPr calcId="124519"/>
</workbook>
</file>

<file path=xl/calcChain.xml><?xml version="1.0" encoding="utf-8"?>
<calcChain xmlns="http://schemas.openxmlformats.org/spreadsheetml/2006/main">
  <c r="G13" i="14"/>
  <c r="C9"/>
  <c r="C14" s="1"/>
  <c r="G7" s="1"/>
  <c r="C7"/>
  <c r="B7"/>
  <c r="B9" s="1"/>
  <c r="B14" s="1"/>
  <c r="L22" i="13"/>
  <c r="K22"/>
  <c r="J22"/>
  <c r="I22"/>
  <c r="H22"/>
  <c r="G22"/>
  <c r="F22"/>
  <c r="E39" i="12"/>
  <c r="H17" s="1"/>
  <c r="H29"/>
  <c r="H16"/>
  <c r="H15"/>
  <c r="H14"/>
  <c r="H13"/>
  <c r="H12"/>
  <c r="N5"/>
  <c r="M5"/>
  <c r="L5"/>
  <c r="K5"/>
  <c r="J5"/>
  <c r="I5"/>
  <c r="H5"/>
  <c r="H8" s="1"/>
  <c r="E39" i="11"/>
  <c r="H17" s="1"/>
  <c r="H29"/>
  <c r="H16"/>
  <c r="H15"/>
  <c r="H14"/>
  <c r="H13"/>
  <c r="H12"/>
  <c r="N5"/>
  <c r="M5"/>
  <c r="L5"/>
  <c r="K5"/>
  <c r="J5"/>
  <c r="I5"/>
  <c r="H5"/>
  <c r="H8" s="1"/>
  <c r="E39" i="10"/>
  <c r="H17" s="1"/>
  <c r="H29"/>
  <c r="H16"/>
  <c r="H15"/>
  <c r="H14"/>
  <c r="H13"/>
  <c r="H12"/>
  <c r="N5"/>
  <c r="M5"/>
  <c r="L5"/>
  <c r="K5"/>
  <c r="J5"/>
  <c r="I5"/>
  <c r="H5"/>
  <c r="E39" i="9"/>
  <c r="H17" s="1"/>
  <c r="H29"/>
  <c r="H16"/>
  <c r="H15"/>
  <c r="H14"/>
  <c r="H13"/>
  <c r="H12"/>
  <c r="N5"/>
  <c r="M5"/>
  <c r="L5"/>
  <c r="K5"/>
  <c r="J5"/>
  <c r="I5"/>
  <c r="H5"/>
  <c r="H8" s="1"/>
  <c r="E40" i="8"/>
  <c r="H17" s="1"/>
  <c r="H29"/>
  <c r="H16"/>
  <c r="H15"/>
  <c r="H14"/>
  <c r="H13"/>
  <c r="H12"/>
  <c r="N5"/>
  <c r="M5"/>
  <c r="L5"/>
  <c r="K5"/>
  <c r="J5"/>
  <c r="I5"/>
  <c r="H5"/>
  <c r="E39" i="7"/>
  <c r="H17" s="1"/>
  <c r="H29"/>
  <c r="H16"/>
  <c r="H15"/>
  <c r="H14"/>
  <c r="H13"/>
  <c r="H12"/>
  <c r="N5"/>
  <c r="M5"/>
  <c r="L5"/>
  <c r="K5"/>
  <c r="J5"/>
  <c r="I5"/>
  <c r="H5"/>
  <c r="H29" i="6"/>
  <c r="H17"/>
  <c r="H16"/>
  <c r="H15"/>
  <c r="H14"/>
  <c r="H13"/>
  <c r="H12"/>
  <c r="N5"/>
  <c r="M5"/>
  <c r="L5"/>
  <c r="K5"/>
  <c r="J5"/>
  <c r="I5"/>
  <c r="H5"/>
  <c r="E39" i="5"/>
  <c r="H17" s="1"/>
  <c r="H29"/>
  <c r="H16"/>
  <c r="H15"/>
  <c r="H14"/>
  <c r="H13"/>
  <c r="H12"/>
  <c r="N5"/>
  <c r="M5"/>
  <c r="L5"/>
  <c r="K5"/>
  <c r="J5"/>
  <c r="I5"/>
  <c r="H5"/>
  <c r="E42" i="4"/>
  <c r="H17" s="1"/>
  <c r="H29"/>
  <c r="H16"/>
  <c r="H15"/>
  <c r="H14"/>
  <c r="H13"/>
  <c r="H12"/>
  <c r="N5"/>
  <c r="M5"/>
  <c r="L5"/>
  <c r="K5"/>
  <c r="J5"/>
  <c r="I5"/>
  <c r="H5"/>
  <c r="E41" i="3"/>
  <c r="H17" s="1"/>
  <c r="H29"/>
  <c r="H16"/>
  <c r="H15"/>
  <c r="H14"/>
  <c r="H13"/>
  <c r="H12"/>
  <c r="N5"/>
  <c r="M5"/>
  <c r="L5"/>
  <c r="K5"/>
  <c r="J5"/>
  <c r="I5"/>
  <c r="H5"/>
  <c r="E37" i="2"/>
  <c r="H17" s="1"/>
  <c r="H29"/>
  <c r="H16"/>
  <c r="H15"/>
  <c r="H14"/>
  <c r="H13"/>
  <c r="H12"/>
  <c r="N5"/>
  <c r="M5"/>
  <c r="L5"/>
  <c r="K5"/>
  <c r="J5"/>
  <c r="I5"/>
  <c r="H5"/>
  <c r="H29" i="1"/>
  <c r="H17"/>
  <c r="H16"/>
  <c r="H15"/>
  <c r="H14"/>
  <c r="H13"/>
  <c r="H12"/>
  <c r="N5"/>
  <c r="M5"/>
  <c r="L5"/>
  <c r="K5"/>
  <c r="J5"/>
  <c r="I5"/>
  <c r="H5"/>
  <c r="H8" i="10" l="1"/>
  <c r="H6" s="1"/>
  <c r="H8" i="8"/>
  <c r="H7" s="1"/>
  <c r="H8" i="7"/>
  <c r="H6" s="1"/>
  <c r="H18" i="6"/>
  <c r="L15" s="1"/>
  <c r="H8"/>
  <c r="H6" s="1"/>
  <c r="H8" i="5"/>
  <c r="H7" s="1"/>
  <c r="H8" i="4"/>
  <c r="H7" s="1"/>
  <c r="H8" i="3"/>
  <c r="H6" s="1"/>
  <c r="H8" i="2"/>
  <c r="H6" s="1"/>
  <c r="H8" i="1"/>
  <c r="H6" s="1"/>
  <c r="H18"/>
  <c r="L13" s="1"/>
  <c r="H18" i="4"/>
  <c r="L13" s="1"/>
  <c r="H21" i="12"/>
  <c r="H6"/>
  <c r="H7"/>
  <c r="H21" i="9"/>
  <c r="H6"/>
  <c r="H7"/>
  <c r="H18" i="3"/>
  <c r="H18" i="5"/>
  <c r="H21" i="11"/>
  <c r="H6"/>
  <c r="H7"/>
  <c r="H18" i="12"/>
  <c r="L12" s="1"/>
  <c r="G5" i="14"/>
  <c r="G6"/>
  <c r="L14" i="12"/>
  <c r="H18" i="7"/>
  <c r="H22" s="1"/>
  <c r="H18" i="9"/>
  <c r="H22" s="1"/>
  <c r="H18" i="11"/>
  <c r="H22" s="1"/>
  <c r="H18" i="2"/>
  <c r="H22" s="1"/>
  <c r="H18" i="8"/>
  <c r="H22" s="1"/>
  <c r="H18" i="10"/>
  <c r="H22" s="1"/>
  <c r="L16" s="1"/>
  <c r="H21" l="1"/>
  <c r="H23" s="1"/>
  <c r="H7"/>
  <c r="H21" i="8"/>
  <c r="H23" s="1"/>
  <c r="L13" i="10"/>
  <c r="L12"/>
  <c r="L15"/>
  <c r="L14"/>
  <c r="L14" i="9"/>
  <c r="L12"/>
  <c r="L13"/>
  <c r="L15" i="8"/>
  <c r="H6"/>
  <c r="H21" i="7"/>
  <c r="H30" s="1"/>
  <c r="H7"/>
  <c r="L15"/>
  <c r="L13"/>
  <c r="L14"/>
  <c r="L12"/>
  <c r="H7" i="6"/>
  <c r="L13"/>
  <c r="L14"/>
  <c r="L12"/>
  <c r="H22"/>
  <c r="G5" i="13" s="1"/>
  <c r="H21" i="6"/>
  <c r="G4" i="13" s="1"/>
  <c r="H21" i="5"/>
  <c r="F4" i="13" s="1"/>
  <c r="H6" i="5"/>
  <c r="H21" i="4"/>
  <c r="E4" i="13" s="1"/>
  <c r="H6" i="4"/>
  <c r="H7" i="3"/>
  <c r="H21"/>
  <c r="D4" i="13" s="1"/>
  <c r="H7" i="2"/>
  <c r="H21"/>
  <c r="H23" s="1"/>
  <c r="L14" i="1"/>
  <c r="L15"/>
  <c r="H21"/>
  <c r="B4" i="13" s="1"/>
  <c r="H7" i="1"/>
  <c r="H22"/>
  <c r="L16" s="1"/>
  <c r="L12"/>
  <c r="C4" i="13"/>
  <c r="J4"/>
  <c r="H23" i="9"/>
  <c r="H30"/>
  <c r="H32" i="6"/>
  <c r="L12" i="2"/>
  <c r="L13"/>
  <c r="H32" i="11"/>
  <c r="L5" i="13"/>
  <c r="H32" i="2"/>
  <c r="C5" i="13"/>
  <c r="H32" i="7"/>
  <c r="H5" i="13"/>
  <c r="H30" i="10"/>
  <c r="K4" i="13"/>
  <c r="H22" i="3"/>
  <c r="L15"/>
  <c r="H30" i="4"/>
  <c r="M4" i="13"/>
  <c r="H30" i="12"/>
  <c r="L16" i="11"/>
  <c r="L14" i="8"/>
  <c r="L14" i="11"/>
  <c r="L16" i="7"/>
  <c r="L15" i="2"/>
  <c r="H23" i="7"/>
  <c r="H30" i="5"/>
  <c r="H30" i="3"/>
  <c r="I5" i="13"/>
  <c r="H32" i="8"/>
  <c r="K5" i="13"/>
  <c r="H32" i="10"/>
  <c r="J5" i="13"/>
  <c r="H32" i="9"/>
  <c r="L15" i="12"/>
  <c r="L13"/>
  <c r="H22"/>
  <c r="H23" i="11"/>
  <c r="L4" i="13"/>
  <c r="H30" i="11"/>
  <c r="L14" i="5"/>
  <c r="L12"/>
  <c r="H22"/>
  <c r="L15"/>
  <c r="L13"/>
  <c r="H30" i="8"/>
  <c r="H22" i="4"/>
  <c r="L15"/>
  <c r="L14"/>
  <c r="L12"/>
  <c r="L13" i="11"/>
  <c r="L16" i="2"/>
  <c r="L12" i="8"/>
  <c r="L15" i="9"/>
  <c r="L13" i="3"/>
  <c r="L16" i="9"/>
  <c r="L14" i="3"/>
  <c r="L15" i="11"/>
  <c r="L16" i="8"/>
  <c r="L14" i="2"/>
  <c r="L12" i="11"/>
  <c r="L13" i="8"/>
  <c r="L12" i="3"/>
  <c r="I4" i="13" l="1"/>
  <c r="H4"/>
  <c r="L16" i="6"/>
  <c r="H23"/>
  <c r="L17" s="1"/>
  <c r="H30"/>
  <c r="H23" i="4"/>
  <c r="H24" s="1"/>
  <c r="E7" i="13" s="1"/>
  <c r="H30" i="2"/>
  <c r="B5" i="13"/>
  <c r="H32" i="1"/>
  <c r="H30"/>
  <c r="H23"/>
  <c r="H31" s="1"/>
  <c r="H31" i="11"/>
  <c r="H25"/>
  <c r="L8" i="13" s="1"/>
  <c r="H28" i="11"/>
  <c r="L6" i="13"/>
  <c r="H24" i="11"/>
  <c r="L7" i="13" s="1"/>
  <c r="L17" i="11"/>
  <c r="H31" i="9"/>
  <c r="H25"/>
  <c r="J8" i="13" s="1"/>
  <c r="J6"/>
  <c r="H28" i="9"/>
  <c r="H24"/>
  <c r="J7" i="13" s="1"/>
  <c r="L17" i="9"/>
  <c r="H28" i="2"/>
  <c r="C6" i="13"/>
  <c r="H24" i="2"/>
  <c r="C7" i="13" s="1"/>
  <c r="H31" i="2"/>
  <c r="H25"/>
  <c r="C8" i="13" s="1"/>
  <c r="L17" i="2"/>
  <c r="I6" i="13"/>
  <c r="H24" i="8"/>
  <c r="I7" i="13" s="1"/>
  <c r="H31" i="8"/>
  <c r="H25"/>
  <c r="I8" i="13" s="1"/>
  <c r="H28" i="8"/>
  <c r="L17"/>
  <c r="F5" i="13"/>
  <c r="L16" i="5"/>
  <c r="H32"/>
  <c r="H32" i="3"/>
  <c r="D5" i="13"/>
  <c r="L16" i="3"/>
  <c r="H31" i="7"/>
  <c r="H25"/>
  <c r="H8" i="13" s="1"/>
  <c r="H28" i="7"/>
  <c r="H6" i="13"/>
  <c r="H24" i="7"/>
  <c r="H7" i="13" s="1"/>
  <c r="L17" i="7"/>
  <c r="H24" i="10"/>
  <c r="K7" i="13" s="1"/>
  <c r="K6"/>
  <c r="H31" i="10"/>
  <c r="H25"/>
  <c r="K8" i="13" s="1"/>
  <c r="H28" i="10"/>
  <c r="L17"/>
  <c r="E5" i="13"/>
  <c r="H32" i="4"/>
  <c r="L16"/>
  <c r="M5" i="13"/>
  <c r="H32" i="12"/>
  <c r="L16"/>
  <c r="H23" i="3"/>
  <c r="H23" i="5"/>
  <c r="H23" i="12"/>
  <c r="F13" i="13" l="1"/>
  <c r="I16" s="1"/>
  <c r="G6"/>
  <c r="H24" i="6"/>
  <c r="G7" i="13" s="1"/>
  <c r="H31" i="6"/>
  <c r="H28"/>
  <c r="H25"/>
  <c r="G8" i="13" s="1"/>
  <c r="E6"/>
  <c r="H31" i="4"/>
  <c r="H25"/>
  <c r="E8" i="13" s="1"/>
  <c r="L17" i="4"/>
  <c r="H28"/>
  <c r="F14" i="13"/>
  <c r="I17" s="1"/>
  <c r="B6"/>
  <c r="L17" i="1"/>
  <c r="H25"/>
  <c r="B8" i="13" s="1"/>
  <c r="H28" i="1"/>
  <c r="H24"/>
  <c r="B7" i="13" s="1"/>
  <c r="H24" i="3"/>
  <c r="D7" i="13" s="1"/>
  <c r="H31" i="3"/>
  <c r="H25"/>
  <c r="D8" i="13" s="1"/>
  <c r="H28" i="3"/>
  <c r="D6" i="13"/>
  <c r="L17" i="3"/>
  <c r="M6" i="13"/>
  <c r="H24" i="12"/>
  <c r="M7" i="13" s="1"/>
  <c r="H31" i="12"/>
  <c r="H25"/>
  <c r="M8" i="13" s="1"/>
  <c r="H28" i="12"/>
  <c r="L17"/>
  <c r="H24" i="5"/>
  <c r="F7" i="13" s="1"/>
  <c r="F6"/>
  <c r="H31" i="5"/>
  <c r="H25"/>
  <c r="F8" i="13" s="1"/>
  <c r="H28" i="5"/>
  <c r="L17"/>
  <c r="I18" i="13" l="1"/>
  <c r="F15"/>
  <c r="I14" s="1"/>
  <c r="F17"/>
  <c r="F16"/>
  <c r="I15" l="1"/>
  <c r="I13"/>
  <c r="L24" s="1"/>
  <c r="G24" l="1"/>
  <c r="H24"/>
  <c r="K24"/>
  <c r="I24"/>
  <c r="F24"/>
  <c r="J24"/>
</calcChain>
</file>

<file path=xl/sharedStrings.xml><?xml version="1.0" encoding="utf-8"?>
<sst xmlns="http://schemas.openxmlformats.org/spreadsheetml/2006/main" count="1226" uniqueCount="220">
  <si>
    <t>Linha Januária</t>
  </si>
  <si>
    <t>Linha Coração</t>
  </si>
  <si>
    <t>Faturamento</t>
  </si>
  <si>
    <t>Total linha:</t>
  </si>
  <si>
    <t>Januária</t>
  </si>
  <si>
    <t>Chapada</t>
  </si>
  <si>
    <t>Salinas</t>
  </si>
  <si>
    <t>Coração</t>
  </si>
  <si>
    <t>B. Minas</t>
  </si>
  <si>
    <t>Bahia</t>
  </si>
  <si>
    <t>Moc  Globo</t>
  </si>
  <si>
    <t>Diárias (hotel + refeições)</t>
  </si>
  <si>
    <t>Total Faturado por linha</t>
  </si>
  <si>
    <t>Combustível</t>
  </si>
  <si>
    <t>Total faturamento Linhas Petrina</t>
  </si>
  <si>
    <t>Comissão motorista</t>
  </si>
  <si>
    <t>Total fatuamento Linhas Rossiny</t>
  </si>
  <si>
    <t>Comissão Iltair + Etien</t>
  </si>
  <si>
    <t>Comissão Iltair</t>
  </si>
  <si>
    <t>Total Faturamento Geral</t>
  </si>
  <si>
    <t xml:space="preserve">Notas </t>
  </si>
  <si>
    <t>Qtidade mesas por linha</t>
  </si>
  <si>
    <t>Linha Chapada</t>
  </si>
  <si>
    <t>Linha Bahia</t>
  </si>
  <si>
    <t>Despesas</t>
  </si>
  <si>
    <t>%</t>
  </si>
  <si>
    <t>Total Diárias</t>
  </si>
  <si>
    <t>Total Combustível</t>
  </si>
  <si>
    <t>Total comissão motorista</t>
  </si>
  <si>
    <t>Total comissão Iltair + Etiene</t>
  </si>
  <si>
    <t>Total Notas</t>
  </si>
  <si>
    <t>Total outras despesas</t>
  </si>
  <si>
    <t>Total Geral Despesas</t>
  </si>
  <si>
    <t>Linha Salinas</t>
  </si>
  <si>
    <t>Linha Moc Globo</t>
  </si>
  <si>
    <t>Lucro</t>
  </si>
  <si>
    <t>Faturamento Geral</t>
  </si>
  <si>
    <t>Despesa Geral</t>
  </si>
  <si>
    <t>Lucro Geral</t>
  </si>
  <si>
    <t>Comissão Iltair + Etiene</t>
  </si>
  <si>
    <t>Lucro Petrina</t>
  </si>
  <si>
    <t>Lucro Rossiny</t>
  </si>
  <si>
    <t>Linha Bonito Minas</t>
  </si>
  <si>
    <t>Outras Despesas</t>
  </si>
  <si>
    <t xml:space="preserve"> </t>
  </si>
  <si>
    <t>Descrição</t>
  </si>
  <si>
    <t>Valor</t>
  </si>
  <si>
    <t>Margem líquida (lucro/ faturam)</t>
  </si>
  <si>
    <t>Total mesas locadas</t>
  </si>
  <si>
    <t>Faturamento por mesa</t>
  </si>
  <si>
    <t>Lucro por mesa</t>
  </si>
  <si>
    <t>Despesa por mesa</t>
  </si>
  <si>
    <t>Bonus Iltair</t>
  </si>
  <si>
    <t>Total outra despesas</t>
  </si>
  <si>
    <t xml:space="preserve">Comissão Iltair </t>
  </si>
  <si>
    <t>Total comissão Iltair</t>
  </si>
  <si>
    <t xml:space="preserve">Andressa pagamento </t>
  </si>
  <si>
    <t>Doc carros Licenc e 1 parc IPVA</t>
  </si>
  <si>
    <t>Ficheiro uberaba</t>
  </si>
  <si>
    <t xml:space="preserve">Total comissão Iltair </t>
  </si>
  <si>
    <t>Doc carros  2 parc IPVA</t>
  </si>
  <si>
    <t>Doc carro 3 parc IPVA</t>
  </si>
  <si>
    <t>Alteração firma</t>
  </si>
  <si>
    <t>Pagamento andressa</t>
  </si>
  <si>
    <t>verificar</t>
  </si>
  <si>
    <t>Direção hidr. Silverado 1/3</t>
  </si>
  <si>
    <t xml:space="preserve">Pg Andressa </t>
  </si>
  <si>
    <t>Taco pg em 30/06</t>
  </si>
  <si>
    <t>Panos Thaís 3/3</t>
  </si>
  <si>
    <t xml:space="preserve">Taco </t>
  </si>
  <si>
    <t>Direção hidr. Silverado 3/3</t>
  </si>
  <si>
    <t>Linha Bahia-036</t>
  </si>
  <si>
    <t>Linha Salinas-037</t>
  </si>
  <si>
    <t>11º Fechamento ano 2023</t>
  </si>
  <si>
    <t>12º Fechamento ano 2023</t>
  </si>
  <si>
    <t xml:space="preserve">Pano  </t>
  </si>
  <si>
    <t>Pneu 4/4</t>
  </si>
  <si>
    <t>Balanço Anual</t>
  </si>
  <si>
    <t>1º Acerto</t>
  </si>
  <si>
    <t>2º Acerto</t>
  </si>
  <si>
    <t>3º Acerto</t>
  </si>
  <si>
    <t>4º Acerto</t>
  </si>
  <si>
    <t>5º Acerto</t>
  </si>
  <si>
    <t>6º Acerto</t>
  </si>
  <si>
    <t>7º Acerto</t>
  </si>
  <si>
    <t>8º Acerto</t>
  </si>
  <si>
    <t>9º Acerto</t>
  </si>
  <si>
    <t>10º Acerto</t>
  </si>
  <si>
    <t>11º Acerto</t>
  </si>
  <si>
    <t>12º Acerto</t>
  </si>
  <si>
    <t>Faturamento por acerto</t>
  </si>
  <si>
    <t>Despesa por acerto</t>
  </si>
  <si>
    <t>Lucro Total por acerto</t>
  </si>
  <si>
    <t>Lucro Petrina por acerto</t>
  </si>
  <si>
    <t>Lucro Rossiny por acerto</t>
  </si>
  <si>
    <t>FATURAMENTO ANUAL</t>
  </si>
  <si>
    <t>Margem líquida</t>
  </si>
  <si>
    <t>Lucro /Faturamento</t>
  </si>
  <si>
    <t>DESPESA ANUAL</t>
  </si>
  <si>
    <t>ROI</t>
  </si>
  <si>
    <t>Lucro liquido / patrimônio</t>
  </si>
  <si>
    <t>LUCRO TOTAL ANO</t>
  </si>
  <si>
    <t>P/L</t>
  </si>
  <si>
    <t>Patrimônio / Lucro (Verificar)= Qtde anos p retorno</t>
  </si>
  <si>
    <t>LUCRO ANO PETRINA</t>
  </si>
  <si>
    <t>Ticket medio mesa</t>
  </si>
  <si>
    <t>LUCRO ANO ROSSINY</t>
  </si>
  <si>
    <t>XXXXXXXXXX</t>
  </si>
  <si>
    <t>Bonito Minas</t>
  </si>
  <si>
    <t xml:space="preserve">Moc </t>
  </si>
  <si>
    <t>Faturamento anual por linha</t>
  </si>
  <si>
    <t>Valor investido</t>
  </si>
  <si>
    <t>Lucro por linha</t>
  </si>
  <si>
    <t>P/L por linha</t>
  </si>
  <si>
    <t>Rossiny</t>
  </si>
  <si>
    <t>Petrinas</t>
  </si>
  <si>
    <t>Valor total Firma</t>
  </si>
  <si>
    <t>Valor Rossiny</t>
  </si>
  <si>
    <t>Qtidade total mesas</t>
  </si>
  <si>
    <t>Valor Petrina</t>
  </si>
  <si>
    <t>Valor por mesa</t>
  </si>
  <si>
    <t>Total</t>
  </si>
  <si>
    <t>F350 velha</t>
  </si>
  <si>
    <t>F350 nova</t>
  </si>
  <si>
    <t>X</t>
  </si>
  <si>
    <t>Silverado</t>
  </si>
  <si>
    <t>X=</t>
  </si>
  <si>
    <t>Total Patrimonio</t>
  </si>
  <si>
    <t>Petrina</t>
  </si>
  <si>
    <t>435 mesas</t>
  </si>
  <si>
    <t>324 mesas</t>
  </si>
  <si>
    <t>2 caminões F350</t>
  </si>
  <si>
    <t>1 caminonete silverado</t>
  </si>
  <si>
    <t>1º Fechamento ano 2024</t>
  </si>
  <si>
    <t>2º Fechamento ano 2024</t>
  </si>
  <si>
    <t>3º Fechamento ano 2024</t>
  </si>
  <si>
    <t>4º Fechamento ano 2024</t>
  </si>
  <si>
    <t xml:space="preserve">5º Fechamento </t>
  </si>
  <si>
    <t>Caixa de marcha F350</t>
  </si>
  <si>
    <t xml:space="preserve">2 Pneus silverado </t>
  </si>
  <si>
    <t xml:space="preserve">Pagamento Isadora </t>
  </si>
  <si>
    <t>Diferencial peças</t>
  </si>
  <si>
    <t>Pneus silverado (23 maio)</t>
  </si>
  <si>
    <t>Pneus F350 nova</t>
  </si>
  <si>
    <t>Bicos injetores</t>
  </si>
  <si>
    <t>Compra diverplay</t>
  </si>
  <si>
    <t xml:space="preserve">Recuperação bico </t>
  </si>
  <si>
    <t>Pneus F350  6/10</t>
  </si>
  <si>
    <t>Pneus F350 7/10</t>
  </si>
  <si>
    <t>Pneus F350 8/10</t>
  </si>
  <si>
    <t>Pneus F350 9/10</t>
  </si>
  <si>
    <t>Pneus F350 10/10</t>
  </si>
  <si>
    <t>Contadora jan  24</t>
  </si>
  <si>
    <t>FGTS + INSS jan 24</t>
  </si>
  <si>
    <t>Simples nacional jan  24</t>
  </si>
  <si>
    <t>Panos 3/4</t>
  </si>
  <si>
    <t>Panos 4/4</t>
  </si>
  <si>
    <t>Simples nacional fev 24</t>
  </si>
  <si>
    <t>Contadora fev 24</t>
  </si>
  <si>
    <t>FGTS + INSS fev 24</t>
  </si>
  <si>
    <t>Contadora março 24</t>
  </si>
  <si>
    <t>FGTS + INSS março 24</t>
  </si>
  <si>
    <t>simple nacional março 24</t>
  </si>
  <si>
    <t>FGTS + INSS abril 24</t>
  </si>
  <si>
    <t>Simples Nacional abril 24</t>
  </si>
  <si>
    <t>Contadora abril 24</t>
  </si>
  <si>
    <t>Contadora maio 24</t>
  </si>
  <si>
    <t>FGTS + INSS maio 24</t>
  </si>
  <si>
    <t>Simples nacional  maio 24</t>
  </si>
  <si>
    <t>Contadora junho 24</t>
  </si>
  <si>
    <t>FGTS + INSS junho 24</t>
  </si>
  <si>
    <t>Simples nacional  junho 24</t>
  </si>
  <si>
    <t>FGTS + INSS  julho 24</t>
  </si>
  <si>
    <t>Contadora julho 24</t>
  </si>
  <si>
    <t>Simples nacional julho 24</t>
  </si>
  <si>
    <t>Simples nacional  ago 24</t>
  </si>
  <si>
    <t>Contadora ago 24</t>
  </si>
  <si>
    <t>FGTS + INSS ago 24</t>
  </si>
  <si>
    <t>Simples nacional set 24</t>
  </si>
  <si>
    <t>Contadora set 24</t>
  </si>
  <si>
    <t>FGTS + INSS set 24</t>
  </si>
  <si>
    <t>Contadora out 24</t>
  </si>
  <si>
    <t>FGTS + INSS out 24</t>
  </si>
  <si>
    <t>Contadora nov 24</t>
  </si>
  <si>
    <t>Contadora  dez 24</t>
  </si>
  <si>
    <t>Pneu F350 nova</t>
  </si>
  <si>
    <t>Materiais Vilson 1/2</t>
  </si>
  <si>
    <t>Materiais Vilson 2/2</t>
  </si>
  <si>
    <t>Panos Thaís 2/4</t>
  </si>
  <si>
    <t>Tacos 1/3</t>
  </si>
  <si>
    <t>Tacos 2/3</t>
  </si>
  <si>
    <t xml:space="preserve">Tacos </t>
  </si>
  <si>
    <t>Panos Thaís 4/4</t>
  </si>
  <si>
    <t>Panos Tahís 1/4</t>
  </si>
  <si>
    <t>Panos Thaís 3/4</t>
  </si>
  <si>
    <t>Mat. Vilson 1/2</t>
  </si>
  <si>
    <t>Mat. Vilson   2/2</t>
  </si>
  <si>
    <t>Taco 2/3</t>
  </si>
  <si>
    <t>Taco 3/3</t>
  </si>
  <si>
    <t>Ficheiros 1/2</t>
  </si>
  <si>
    <t>Ficheiros 2/2</t>
  </si>
  <si>
    <t>Taxas devolver bicos (ver)</t>
  </si>
  <si>
    <t>(RECISAO ETINE)</t>
  </si>
  <si>
    <t>Materiais Vilson 1/3</t>
  </si>
  <si>
    <t>Materiais Vilson 2/3</t>
  </si>
  <si>
    <t>Simp nacional dez 24</t>
  </si>
  <si>
    <t>FGTS + INSS dez 24</t>
  </si>
  <si>
    <t>FGTS + INSS nov 24</t>
  </si>
  <si>
    <t>Simp nacional nov 24</t>
  </si>
  <si>
    <t>Osorio placas ?</t>
  </si>
  <si>
    <t xml:space="preserve">1 pneu F350 nova </t>
  </si>
  <si>
    <t xml:space="preserve">Panos Thais </t>
  </si>
  <si>
    <t xml:space="preserve">Mat. Vilson   </t>
  </si>
  <si>
    <t>Panos Thais</t>
  </si>
  <si>
    <t>S nacional out 24- n teve</t>
  </si>
  <si>
    <t>10º Fechamento ano 2024</t>
  </si>
  <si>
    <t>9º Fechamento ano 2024</t>
  </si>
  <si>
    <t>8º Fechamento ano 2024</t>
  </si>
  <si>
    <t>7º Fechamento ano 2024</t>
  </si>
  <si>
    <t>6º Fechamento ano 2024</t>
  </si>
</sst>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0.0"/>
  </numFmts>
  <fonts count="16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i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i/>
      <sz val="11"/>
      <color rgb="FFFF0000"/>
      <name val="Calibri"/>
    </font>
    <font>
      <b/>
      <sz val="12"/>
      <color theme="1"/>
      <name val="Calibri"/>
    </font>
    <font>
      <b/>
      <sz val="11"/>
      <color rgb="FF00B050"/>
      <name val="Calibri"/>
    </font>
    <font>
      <b/>
      <sz val="11"/>
      <color rgb="FF0070C0"/>
      <name val="Calibri"/>
    </font>
    <font>
      <b/>
      <sz val="11"/>
      <color rgb="FFE36C09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5"/>
      <name val="Calibri"/>
    </font>
    <font>
      <b/>
      <sz val="11"/>
      <color rgb="FF548DD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EAF1DD"/>
        <bgColor rgb="FFEAF1DD"/>
      </patternFill>
    </fill>
    <fill>
      <patternFill patternType="solid">
        <fgColor rgb="FF00B0F0"/>
        <bgColor rgb="FF00B0F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4" fillId="0" borderId="7" xfId="0" applyFont="1" applyBorder="1"/>
    <xf numFmtId="164" fontId="4" fillId="5" borderId="7" xfId="0" applyNumberFormat="1" applyFont="1" applyFill="1" applyBorder="1"/>
    <xf numFmtId="0" fontId="4" fillId="3" borderId="7" xfId="0" applyFont="1" applyFill="1" applyBorder="1"/>
    <xf numFmtId="0" fontId="5" fillId="0" borderId="7" xfId="0" applyFont="1" applyBorder="1"/>
    <xf numFmtId="164" fontId="4" fillId="0" borderId="7" xfId="0" applyNumberFormat="1" applyFont="1" applyBorder="1"/>
    <xf numFmtId="164" fontId="4" fillId="6" borderId="7" xfId="0" applyNumberFormat="1" applyFont="1" applyFill="1" applyBorder="1" applyAlignment="1">
      <alignment horizontal="center"/>
    </xf>
    <xf numFmtId="164" fontId="4" fillId="6" borderId="7" xfId="0" applyNumberFormat="1" applyFont="1" applyFill="1" applyBorder="1"/>
    <xf numFmtId="164" fontId="4" fillId="0" borderId="4" xfId="0" applyNumberFormat="1" applyFont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9" fontId="5" fillId="9" borderId="7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7" xfId="0" applyFont="1" applyBorder="1"/>
    <xf numFmtId="0" fontId="9" fillId="0" borderId="7" xfId="0" applyFont="1" applyBorder="1"/>
    <xf numFmtId="164" fontId="9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10" fillId="0" borderId="7" xfId="0" applyFont="1" applyBorder="1"/>
    <xf numFmtId="164" fontId="10" fillId="0" borderId="4" xfId="0" applyNumberFormat="1" applyFont="1" applyBorder="1" applyAlignment="1">
      <alignment horizontal="center"/>
    </xf>
    <xf numFmtId="0" fontId="11" fillId="0" borderId="7" xfId="0" applyFont="1" applyBorder="1"/>
    <xf numFmtId="164" fontId="11" fillId="0" borderId="4" xfId="0" applyNumberFormat="1" applyFont="1" applyBorder="1" applyAlignment="1">
      <alignment horizontal="center"/>
    </xf>
    <xf numFmtId="0" fontId="5" fillId="0" borderId="0" xfId="0" applyFont="1"/>
    <xf numFmtId="0" fontId="12" fillId="0" borderId="0" xfId="0" applyFont="1"/>
    <xf numFmtId="0" fontId="4" fillId="6" borderId="7" xfId="0" applyFont="1" applyFill="1" applyBorder="1"/>
    <xf numFmtId="0" fontId="5" fillId="2" borderId="7" xfId="0" applyFont="1" applyFill="1" applyBorder="1" applyAlignment="1">
      <alignment horizontal="center"/>
    </xf>
    <xf numFmtId="9" fontId="5" fillId="2" borderId="7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5" fillId="0" borderId="7" xfId="0" applyNumberFormat="1" applyFont="1" applyBorder="1"/>
    <xf numFmtId="0" fontId="8" fillId="0" borderId="7" xfId="0" applyFont="1" applyBorder="1"/>
    <xf numFmtId="164" fontId="6" fillId="0" borderId="7" xfId="0" applyNumberFormat="1" applyFont="1" applyBorder="1"/>
    <xf numFmtId="164" fontId="4" fillId="0" borderId="0" xfId="0" applyNumberFormat="1" applyFont="1"/>
    <xf numFmtId="0" fontId="4" fillId="2" borderId="7" xfId="0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3" borderId="7" xfId="0" applyFont="1" applyFill="1" applyBorder="1"/>
    <xf numFmtId="164" fontId="9" fillId="0" borderId="7" xfId="0" applyNumberFormat="1" applyFont="1" applyBorder="1"/>
    <xf numFmtId="164" fontId="9" fillId="12" borderId="7" xfId="0" applyNumberFormat="1" applyFont="1" applyFill="1" applyBorder="1"/>
    <xf numFmtId="9" fontId="4" fillId="0" borderId="7" xfId="0" applyNumberFormat="1" applyFont="1" applyBorder="1" applyAlignment="1">
      <alignment horizontal="center"/>
    </xf>
    <xf numFmtId="164" fontId="10" fillId="0" borderId="7" xfId="0" applyNumberFormat="1" applyFont="1" applyBorder="1"/>
    <xf numFmtId="165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164" fontId="5" fillId="0" borderId="0" xfId="0" applyNumberFormat="1" applyFont="1"/>
    <xf numFmtId="0" fontId="4" fillId="0" borderId="11" xfId="0" applyFont="1" applyBorder="1" applyAlignment="1">
      <alignment horizontal="center"/>
    </xf>
    <xf numFmtId="9" fontId="5" fillId="0" borderId="7" xfId="0" applyNumberFormat="1" applyFont="1" applyBorder="1"/>
    <xf numFmtId="0" fontId="14" fillId="0" borderId="7" xfId="0" applyFont="1" applyBorder="1"/>
    <xf numFmtId="0" fontId="14" fillId="0" borderId="7" xfId="0" applyFont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2" borderId="12" xfId="0" applyFont="1" applyFill="1" applyBorder="1"/>
    <xf numFmtId="166" fontId="5" fillId="2" borderId="12" xfId="0" applyNumberFormat="1" applyFont="1" applyFill="1" applyBorder="1"/>
    <xf numFmtId="164" fontId="15" fillId="0" borderId="7" xfId="0" applyNumberFormat="1" applyFont="1" applyBorder="1"/>
    <xf numFmtId="0" fontId="5" fillId="0" borderId="7" xfId="0" applyFont="1" applyBorder="1" applyAlignment="1">
      <alignment horizontal="center"/>
    </xf>
    <xf numFmtId="0" fontId="0" fillId="0" borderId="0" xfId="0" applyFont="1" applyAlignment="1"/>
    <xf numFmtId="0" fontId="5" fillId="0" borderId="12" xfId="0" applyFont="1" applyBorder="1"/>
    <xf numFmtId="164" fontId="4" fillId="0" borderId="12" xfId="0" applyNumberFormat="1" applyFont="1" applyBorder="1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0" fontId="4" fillId="4" borderId="4" xfId="0" applyFont="1" applyFill="1" applyBorder="1" applyAlignment="1">
      <alignment horizontal="center"/>
    </xf>
    <xf numFmtId="0" fontId="2" fillId="0" borderId="6" xfId="0" applyFont="1" applyBorder="1"/>
    <xf numFmtId="164" fontId="4" fillId="0" borderId="4" xfId="0" applyNumberFormat="1" applyFont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10" borderId="4" xfId="0" applyNumberFormat="1" applyFont="1" applyFill="1" applyBorder="1" applyAlignment="1">
      <alignment horizontal="center"/>
    </xf>
    <xf numFmtId="0" fontId="2" fillId="0" borderId="8" xfId="0" applyFont="1" applyBorder="1"/>
    <xf numFmtId="164" fontId="7" fillId="7" borderId="4" xfId="0" applyNumberFormat="1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5" fillId="0" borderId="10" xfId="0" applyFont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"/>
  <sheetViews>
    <sheetView zoomScale="80" zoomScaleNormal="80" workbookViewId="0">
      <selection activeCell="D31" sqref="D3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133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12240</v>
      </c>
      <c r="D4" s="1" t="s">
        <v>3</v>
      </c>
      <c r="E4" s="2">
        <v>10140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860</v>
      </c>
      <c r="D5" s="4" t="s">
        <v>11</v>
      </c>
      <c r="E5" s="5">
        <v>540</v>
      </c>
      <c r="G5" s="3" t="s">
        <v>12</v>
      </c>
      <c r="H5" s="6">
        <f>B4</f>
        <v>12240</v>
      </c>
      <c r="I5" s="6">
        <f>B12</f>
        <v>10213</v>
      </c>
      <c r="J5" s="6">
        <f>B20</f>
        <v>8340</v>
      </c>
      <c r="K5" s="6">
        <f>E4</f>
        <v>10140</v>
      </c>
      <c r="L5" s="7">
        <f>B28</f>
        <v>10552</v>
      </c>
      <c r="M5" s="7">
        <f>E12</f>
        <v>10788</v>
      </c>
      <c r="N5" s="7">
        <f>E20</f>
        <v>13460</v>
      </c>
    </row>
    <row r="6" spans="1:14">
      <c r="A6" s="4" t="s">
        <v>13</v>
      </c>
      <c r="B6" s="5">
        <v>1814</v>
      </c>
      <c r="D6" s="4" t="s">
        <v>13</v>
      </c>
      <c r="E6" s="5">
        <v>493</v>
      </c>
      <c r="G6" s="3" t="s">
        <v>14</v>
      </c>
      <c r="H6" s="64">
        <f>H8*0.4</f>
        <v>30293.200000000001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287</v>
      </c>
      <c r="D7" s="4" t="s">
        <v>15</v>
      </c>
      <c r="E7" s="5">
        <v>274</v>
      </c>
      <c r="G7" s="3" t="s">
        <v>16</v>
      </c>
      <c r="H7" s="64">
        <f>H8*0.6</f>
        <v>45439.799999999996</v>
      </c>
      <c r="I7" s="63"/>
      <c r="J7" s="63"/>
      <c r="K7" s="63"/>
      <c r="L7" s="63"/>
      <c r="M7" s="63"/>
      <c r="N7" s="61"/>
    </row>
    <row r="8" spans="1:14">
      <c r="A8" s="4" t="s">
        <v>17</v>
      </c>
      <c r="B8" s="5">
        <v>247</v>
      </c>
      <c r="D8" s="4" t="s">
        <v>18</v>
      </c>
      <c r="E8" s="5">
        <v>202</v>
      </c>
      <c r="G8" s="3" t="s">
        <v>19</v>
      </c>
      <c r="H8" s="65">
        <f>SUM(H5:N5)</f>
        <v>75733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3669</v>
      </c>
      <c r="D9" s="4" t="s">
        <v>20</v>
      </c>
      <c r="E9" s="5">
        <v>4749</v>
      </c>
      <c r="G9" s="3" t="s">
        <v>21</v>
      </c>
      <c r="H9" s="4">
        <v>132</v>
      </c>
      <c r="I9" s="4">
        <v>91</v>
      </c>
      <c r="J9" s="4">
        <v>71</v>
      </c>
      <c r="K9" s="4">
        <v>82</v>
      </c>
      <c r="L9" s="4">
        <v>97</v>
      </c>
      <c r="M9" s="4">
        <v>93</v>
      </c>
      <c r="N9" s="4">
        <v>98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10213</v>
      </c>
      <c r="D12" s="1" t="s">
        <v>3</v>
      </c>
      <c r="E12" s="2">
        <v>10788</v>
      </c>
      <c r="G12" s="1" t="s">
        <v>26</v>
      </c>
      <c r="H12" s="64">
        <f>E5+B5+B13+B21+E13+E21+B29</f>
        <v>3910</v>
      </c>
      <c r="I12" s="63"/>
      <c r="J12" s="63"/>
      <c r="K12" s="63"/>
      <c r="L12" s="10">
        <f>H12/H18</f>
        <v>9.0583319510303337E-2</v>
      </c>
    </row>
    <row r="13" spans="1:14">
      <c r="A13" s="4" t="s">
        <v>11</v>
      </c>
      <c r="B13" s="5">
        <v>670</v>
      </c>
      <c r="D13" s="4" t="s">
        <v>11</v>
      </c>
      <c r="E13" s="5">
        <v>540</v>
      </c>
      <c r="G13" s="1" t="s">
        <v>27</v>
      </c>
      <c r="H13" s="64">
        <f t="shared" ref="H13:H16" si="0">E6+B6+B14+B22+B30+E14+E22</f>
        <v>5638</v>
      </c>
      <c r="I13" s="63"/>
      <c r="J13" s="63"/>
      <c r="K13" s="63"/>
      <c r="L13" s="10">
        <f>H13/H18</f>
        <v>0.13061604997419185</v>
      </c>
    </row>
    <row r="14" spans="1:14">
      <c r="A14" s="4" t="s">
        <v>13</v>
      </c>
      <c r="B14" s="5">
        <v>750</v>
      </c>
      <c r="D14" s="4" t="s">
        <v>13</v>
      </c>
      <c r="E14" s="5">
        <v>603</v>
      </c>
      <c r="G14" s="1" t="s">
        <v>28</v>
      </c>
      <c r="H14" s="64">
        <f t="shared" si="0"/>
        <v>1612</v>
      </c>
      <c r="I14" s="63"/>
      <c r="J14" s="63"/>
      <c r="K14" s="63"/>
      <c r="L14" s="10">
        <f>H14/H18</f>
        <v>3.7345348094784903E-2</v>
      </c>
    </row>
    <row r="15" spans="1:14">
      <c r="A15" s="4" t="s">
        <v>15</v>
      </c>
      <c r="B15" s="5">
        <v>264</v>
      </c>
      <c r="D15" s="4" t="s">
        <v>15</v>
      </c>
      <c r="E15" s="5">
        <v>290</v>
      </c>
      <c r="G15" s="1" t="s">
        <v>29</v>
      </c>
      <c r="H15" s="64">
        <f t="shared" si="0"/>
        <v>1622</v>
      </c>
      <c r="I15" s="63"/>
      <c r="J15" s="63"/>
      <c r="K15" s="63"/>
      <c r="L15" s="10">
        <f>H15/H18</f>
        <v>3.7577018988673147E-2</v>
      </c>
    </row>
    <row r="16" spans="1:14">
      <c r="A16" s="4" t="s">
        <v>18</v>
      </c>
      <c r="B16" s="5">
        <v>204</v>
      </c>
      <c r="D16" s="4" t="s">
        <v>18</v>
      </c>
      <c r="E16" s="5">
        <v>215</v>
      </c>
      <c r="G16" s="1" t="s">
        <v>30</v>
      </c>
      <c r="H16" s="64">
        <f t="shared" si="0"/>
        <v>30382.68</v>
      </c>
      <c r="I16" s="63"/>
      <c r="J16" s="63"/>
      <c r="K16" s="63"/>
      <c r="L16" s="10">
        <f t="shared" ref="L16:L17" si="1">H16/H22</f>
        <v>0.70387826343204674</v>
      </c>
    </row>
    <row r="17" spans="1:12">
      <c r="A17" s="4" t="s">
        <v>20</v>
      </c>
      <c r="B17" s="5">
        <v>4291.68</v>
      </c>
      <c r="D17" s="4" t="s">
        <v>20</v>
      </c>
      <c r="E17" s="5">
        <v>2771</v>
      </c>
      <c r="G17" s="11" t="s">
        <v>31</v>
      </c>
      <c r="H17" s="66">
        <f>E36</f>
        <v>0</v>
      </c>
      <c r="I17" s="63"/>
      <c r="J17" s="63"/>
      <c r="K17" s="67"/>
      <c r="L17" s="10">
        <f t="shared" si="1"/>
        <v>0</v>
      </c>
    </row>
    <row r="18" spans="1:12">
      <c r="G18" s="12" t="s">
        <v>32</v>
      </c>
      <c r="H18" s="68">
        <f>H17+H16+H15+H14+H13+H12</f>
        <v>43164.68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8340</v>
      </c>
      <c r="D20" s="1" t="s">
        <v>3</v>
      </c>
      <c r="E20" s="2">
        <v>13460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670</v>
      </c>
      <c r="D21" s="4" t="s">
        <v>11</v>
      </c>
      <c r="E21" s="5">
        <v>90</v>
      </c>
      <c r="G21" s="13" t="s">
        <v>36</v>
      </c>
      <c r="H21" s="14">
        <f>H8</f>
        <v>75733</v>
      </c>
      <c r="I21" s="15"/>
    </row>
    <row r="22" spans="1:12" ht="15.75" customHeight="1">
      <c r="A22" s="4" t="s">
        <v>13</v>
      </c>
      <c r="B22" s="5">
        <v>451</v>
      </c>
      <c r="D22" s="4" t="s">
        <v>13</v>
      </c>
      <c r="E22" s="5">
        <v>842</v>
      </c>
      <c r="G22" s="12" t="s">
        <v>37</v>
      </c>
      <c r="H22" s="16">
        <f>H18</f>
        <v>43164.68</v>
      </c>
      <c r="I22" s="15"/>
    </row>
    <row r="23" spans="1:12" ht="15.75" customHeight="1">
      <c r="A23" s="4" t="s">
        <v>15</v>
      </c>
      <c r="B23" s="5">
        <v>217</v>
      </c>
      <c r="D23" s="4" t="s">
        <v>15</v>
      </c>
      <c r="E23" s="5"/>
      <c r="G23" s="17" t="s">
        <v>38</v>
      </c>
      <c r="H23" s="18">
        <f>H21-H22</f>
        <v>32568.32</v>
      </c>
      <c r="I23" s="15"/>
    </row>
    <row r="24" spans="1:12" ht="15.75" customHeight="1">
      <c r="A24" s="4" t="s">
        <v>39</v>
      </c>
      <c r="B24" s="5">
        <v>167</v>
      </c>
      <c r="D24" s="4" t="s">
        <v>18</v>
      </c>
      <c r="E24" s="5">
        <v>376</v>
      </c>
      <c r="G24" s="19" t="s">
        <v>40</v>
      </c>
      <c r="H24" s="20">
        <f>H23*0.4</f>
        <v>13027.328000000001</v>
      </c>
      <c r="I24" s="15"/>
    </row>
    <row r="25" spans="1:12" ht="15.75" customHeight="1">
      <c r="A25" s="4" t="s">
        <v>20</v>
      </c>
      <c r="B25" s="5">
        <v>5616</v>
      </c>
      <c r="D25" s="4" t="s">
        <v>20</v>
      </c>
      <c r="E25" s="5">
        <v>1823</v>
      </c>
      <c r="G25" s="1" t="s">
        <v>41</v>
      </c>
      <c r="H25" s="8">
        <f>H23*0.6</f>
        <v>19540.991999999998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10552</v>
      </c>
      <c r="D28" s="23" t="s">
        <v>45</v>
      </c>
      <c r="E28" s="6" t="s">
        <v>46</v>
      </c>
      <c r="G28" s="24" t="s">
        <v>47</v>
      </c>
      <c r="H28" s="25">
        <f>H23/H21</f>
        <v>0.4300413294072597</v>
      </c>
    </row>
    <row r="29" spans="1:12" ht="15.75" customHeight="1">
      <c r="A29" s="4" t="s">
        <v>11</v>
      </c>
      <c r="B29" s="5">
        <v>540</v>
      </c>
      <c r="D29" s="4" t="s">
        <v>155</v>
      </c>
      <c r="E29" s="5">
        <v>1918</v>
      </c>
      <c r="G29" s="1" t="s">
        <v>48</v>
      </c>
      <c r="H29" s="26">
        <f>SUM(H9:N9)</f>
        <v>664</v>
      </c>
    </row>
    <row r="30" spans="1:12" ht="15.75" customHeight="1">
      <c r="A30" s="4" t="s">
        <v>13</v>
      </c>
      <c r="B30" s="5">
        <v>685</v>
      </c>
      <c r="D30" s="4" t="s">
        <v>147</v>
      </c>
      <c r="E30" s="5">
        <v>361.58</v>
      </c>
      <c r="G30" s="1" t="s">
        <v>49</v>
      </c>
      <c r="H30" s="5">
        <f>H21/H29</f>
        <v>114.05572289156626</v>
      </c>
    </row>
    <row r="31" spans="1:12" ht="15.75" customHeight="1">
      <c r="A31" s="4" t="s">
        <v>15</v>
      </c>
      <c r="B31" s="5">
        <v>280</v>
      </c>
      <c r="D31" s="4" t="s">
        <v>209</v>
      </c>
      <c r="E31" s="5">
        <v>450</v>
      </c>
      <c r="G31" s="1" t="s">
        <v>50</v>
      </c>
      <c r="H31" s="5">
        <f>H23/H29</f>
        <v>49.048674698795182</v>
      </c>
    </row>
    <row r="32" spans="1:12" ht="15.75" customHeight="1">
      <c r="A32" s="4" t="s">
        <v>18</v>
      </c>
      <c r="B32" s="5">
        <v>211</v>
      </c>
      <c r="D32" s="4" t="s">
        <v>154</v>
      </c>
      <c r="E32" s="5">
        <v>50.87</v>
      </c>
      <c r="G32" s="1" t="s">
        <v>51</v>
      </c>
      <c r="H32" s="5">
        <f>H22/H29</f>
        <v>65.00704819277108</v>
      </c>
    </row>
    <row r="33" spans="1:5" ht="15.75" customHeight="1">
      <c r="A33" s="4" t="s">
        <v>20</v>
      </c>
      <c r="B33" s="5">
        <v>7463</v>
      </c>
      <c r="D33" s="4" t="s">
        <v>152</v>
      </c>
      <c r="E33" s="5">
        <v>290</v>
      </c>
    </row>
    <row r="34" spans="1:5" ht="15.75" customHeight="1">
      <c r="D34" s="4" t="s">
        <v>153</v>
      </c>
      <c r="E34" s="5">
        <v>2162.92</v>
      </c>
    </row>
    <row r="35" spans="1:5" ht="15.75" customHeight="1">
      <c r="D35" s="4" t="s">
        <v>52</v>
      </c>
      <c r="E35" s="27"/>
    </row>
    <row r="36" spans="1:5" ht="15.75" customHeight="1">
      <c r="D36" s="28" t="s">
        <v>53</v>
      </c>
      <c r="E36" s="5"/>
    </row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0"/>
  <sheetViews>
    <sheetView zoomScale="80" zoomScaleNormal="80" workbookViewId="0">
      <selection activeCell="E33" sqref="E33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134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15908</v>
      </c>
      <c r="D4" s="1" t="s">
        <v>3</v>
      </c>
      <c r="E4" s="2">
        <v>8852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1280</v>
      </c>
      <c r="D5" s="4" t="s">
        <v>11</v>
      </c>
      <c r="E5" s="5">
        <v>540</v>
      </c>
      <c r="G5" s="3" t="s">
        <v>12</v>
      </c>
      <c r="H5" s="6">
        <f>B4</f>
        <v>15908</v>
      </c>
      <c r="I5" s="6">
        <f>B12</f>
        <v>13477</v>
      </c>
      <c r="J5" s="6">
        <f>B20</f>
        <v>2040</v>
      </c>
      <c r="K5" s="6">
        <f>E4</f>
        <v>8852</v>
      </c>
      <c r="L5" s="7">
        <f>B28</f>
        <v>0</v>
      </c>
      <c r="M5" s="7">
        <f>E12</f>
        <v>12420</v>
      </c>
      <c r="N5" s="7">
        <f>E20</f>
        <v>11285</v>
      </c>
    </row>
    <row r="6" spans="1:14">
      <c r="A6" s="4" t="s">
        <v>13</v>
      </c>
      <c r="B6" s="5">
        <v>1516</v>
      </c>
      <c r="D6" s="4" t="s">
        <v>13</v>
      </c>
      <c r="E6" s="5">
        <v>542</v>
      </c>
      <c r="G6" s="3" t="s">
        <v>14</v>
      </c>
      <c r="H6" s="64">
        <f>H8*0.4</f>
        <v>25592.800000000003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394</v>
      </c>
      <c r="D7" s="4" t="s">
        <v>15</v>
      </c>
      <c r="E7" s="5">
        <v>234</v>
      </c>
      <c r="G7" s="3" t="s">
        <v>16</v>
      </c>
      <c r="H7" s="64">
        <f>H8*0.6</f>
        <v>38389.199999999997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318</v>
      </c>
      <c r="D8" s="4" t="s">
        <v>18</v>
      </c>
      <c r="E8" s="5">
        <v>177</v>
      </c>
      <c r="G8" s="3" t="s">
        <v>19</v>
      </c>
      <c r="H8" s="65">
        <f>SUM(H5:N5)</f>
        <v>63982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1448</v>
      </c>
      <c r="D9" s="4" t="s">
        <v>20</v>
      </c>
      <c r="E9" s="5">
        <v>2474</v>
      </c>
      <c r="G9" s="3" t="s">
        <v>21</v>
      </c>
      <c r="H9" s="4">
        <v>132</v>
      </c>
      <c r="I9" s="4">
        <v>95</v>
      </c>
      <c r="J9" s="4">
        <v>71</v>
      </c>
      <c r="K9" s="4">
        <v>84</v>
      </c>
      <c r="L9" s="4">
        <v>100</v>
      </c>
      <c r="M9" s="4">
        <v>93</v>
      </c>
      <c r="N9" s="4">
        <v>96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13477</v>
      </c>
      <c r="D12" s="1" t="s">
        <v>3</v>
      </c>
      <c r="E12" s="2">
        <v>12420</v>
      </c>
      <c r="G12" s="1" t="s">
        <v>26</v>
      </c>
      <c r="H12" s="64">
        <f>E5+B5+B13+B21+E13+E21+B29</f>
        <v>3790</v>
      </c>
      <c r="I12" s="63"/>
      <c r="J12" s="63"/>
      <c r="K12" s="63"/>
      <c r="L12" s="10">
        <f>H12/H18</f>
        <v>0.11733230303807078</v>
      </c>
    </row>
    <row r="13" spans="1:14">
      <c r="A13" s="4" t="s">
        <v>11</v>
      </c>
      <c r="B13" s="5">
        <v>860</v>
      </c>
      <c r="D13" s="4" t="s">
        <v>11</v>
      </c>
      <c r="E13" s="5">
        <v>540</v>
      </c>
      <c r="G13" s="1" t="s">
        <v>27</v>
      </c>
      <c r="H13" s="64">
        <f t="shared" ref="H13:H16" si="0">E6+B6+B14+B22+B30+E14+E22</f>
        <v>4880</v>
      </c>
      <c r="I13" s="63"/>
      <c r="J13" s="63"/>
      <c r="K13" s="63"/>
      <c r="L13" s="10">
        <f>H13/H18</f>
        <v>0.15107694955825474</v>
      </c>
    </row>
    <row r="14" spans="1:14">
      <c r="A14" s="4" t="s">
        <v>13</v>
      </c>
      <c r="B14" s="5">
        <v>946</v>
      </c>
      <c r="D14" s="4" t="s">
        <v>13</v>
      </c>
      <c r="E14" s="5">
        <v>868</v>
      </c>
      <c r="G14" s="1" t="s">
        <v>28</v>
      </c>
      <c r="H14" s="64">
        <f t="shared" si="0"/>
        <v>1356</v>
      </c>
      <c r="I14" s="63"/>
      <c r="J14" s="63"/>
      <c r="K14" s="63"/>
      <c r="L14" s="10">
        <f>H14/H18</f>
        <v>4.1979578606760944E-2</v>
      </c>
    </row>
    <row r="15" spans="1:14">
      <c r="A15" s="4" t="s">
        <v>15</v>
      </c>
      <c r="B15" s="5">
        <v>350</v>
      </c>
      <c r="D15" s="4" t="s">
        <v>15</v>
      </c>
      <c r="E15" s="5">
        <v>331</v>
      </c>
      <c r="G15" s="1" t="s">
        <v>55</v>
      </c>
      <c r="H15" s="64">
        <f t="shared" si="0"/>
        <v>1359</v>
      </c>
      <c r="I15" s="63"/>
      <c r="J15" s="63"/>
      <c r="K15" s="63"/>
      <c r="L15" s="10">
        <f>H15/H18</f>
        <v>4.2072453780669705E-2</v>
      </c>
    </row>
    <row r="16" spans="1:14">
      <c r="A16" s="4" t="s">
        <v>18</v>
      </c>
      <c r="B16" s="5">
        <v>270</v>
      </c>
      <c r="D16" s="4" t="s">
        <v>18</v>
      </c>
      <c r="E16" s="5">
        <v>248</v>
      </c>
      <c r="G16" s="1" t="s">
        <v>30</v>
      </c>
      <c r="H16" s="64">
        <f t="shared" si="0"/>
        <v>14212</v>
      </c>
      <c r="I16" s="63"/>
      <c r="J16" s="63"/>
      <c r="K16" s="63"/>
      <c r="L16" s="10">
        <f t="shared" ref="L16:L17" si="1">H16/H22</f>
        <v>0.43998065719711393</v>
      </c>
    </row>
    <row r="17" spans="1:12">
      <c r="A17" s="4" t="s">
        <v>20</v>
      </c>
      <c r="B17" s="5">
        <v>5195</v>
      </c>
      <c r="D17" s="4" t="s">
        <v>20</v>
      </c>
      <c r="E17" s="5">
        <v>1548</v>
      </c>
      <c r="G17" s="11" t="s">
        <v>31</v>
      </c>
      <c r="H17" s="66">
        <f>E37</f>
        <v>6704.42</v>
      </c>
      <c r="I17" s="63"/>
      <c r="J17" s="63"/>
      <c r="K17" s="67"/>
      <c r="L17" s="10">
        <f t="shared" si="1"/>
        <v>0.21162554473434514</v>
      </c>
    </row>
    <row r="18" spans="1:12">
      <c r="G18" s="12" t="s">
        <v>32</v>
      </c>
      <c r="H18" s="68">
        <f>H17+H16+H15+H14+H13+H12</f>
        <v>32301.42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2040</v>
      </c>
      <c r="D20" s="1" t="s">
        <v>3</v>
      </c>
      <c r="E20" s="2">
        <v>11285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480</v>
      </c>
      <c r="D21" s="4" t="s">
        <v>11</v>
      </c>
      <c r="E21" s="5">
        <v>90</v>
      </c>
      <c r="G21" s="13" t="s">
        <v>36</v>
      </c>
      <c r="H21" s="14">
        <f>H8</f>
        <v>63982</v>
      </c>
      <c r="I21" s="15"/>
    </row>
    <row r="22" spans="1:12" ht="15.75" customHeight="1">
      <c r="A22" s="4" t="s">
        <v>13</v>
      </c>
      <c r="B22" s="5"/>
      <c r="D22" s="4" t="s">
        <v>13</v>
      </c>
      <c r="E22" s="5">
        <v>1008</v>
      </c>
      <c r="G22" s="12" t="s">
        <v>37</v>
      </c>
      <c r="H22" s="16">
        <f>H18</f>
        <v>32301.42</v>
      </c>
      <c r="I22" s="15"/>
    </row>
    <row r="23" spans="1:12" ht="15.75" customHeight="1">
      <c r="A23" s="4" t="s">
        <v>15</v>
      </c>
      <c r="B23" s="5">
        <v>47</v>
      </c>
      <c r="D23" s="4" t="s">
        <v>15</v>
      </c>
      <c r="E23" s="5"/>
      <c r="G23" s="17" t="s">
        <v>38</v>
      </c>
      <c r="H23" s="18">
        <f>H21-H22</f>
        <v>31680.58</v>
      </c>
      <c r="I23" s="15"/>
    </row>
    <row r="24" spans="1:12" ht="15.75" customHeight="1">
      <c r="A24" s="4" t="s">
        <v>54</v>
      </c>
      <c r="B24" s="5">
        <v>40</v>
      </c>
      <c r="D24" s="4" t="s">
        <v>18</v>
      </c>
      <c r="E24" s="5">
        <v>306</v>
      </c>
      <c r="G24" s="19" t="s">
        <v>40</v>
      </c>
      <c r="H24" s="20">
        <f>H23*0.4</f>
        <v>12672.232000000002</v>
      </c>
      <c r="I24" s="15"/>
    </row>
    <row r="25" spans="1:12" ht="15.75" customHeight="1">
      <c r="A25" s="4" t="s">
        <v>20</v>
      </c>
      <c r="B25" s="5"/>
      <c r="D25" s="4" t="s">
        <v>20</v>
      </c>
      <c r="E25" s="5">
        <v>3547</v>
      </c>
      <c r="G25" s="1" t="s">
        <v>41</v>
      </c>
      <c r="H25" s="8">
        <f>H23*0.6</f>
        <v>19008.348000000002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/>
      <c r="D28" s="23" t="s">
        <v>45</v>
      </c>
      <c r="E28" s="6" t="s">
        <v>46</v>
      </c>
      <c r="G28" s="24" t="s">
        <v>47</v>
      </c>
      <c r="H28" s="25">
        <f>H23/H21</f>
        <v>0.49514832296583416</v>
      </c>
    </row>
    <row r="29" spans="1:12" ht="15.75" customHeight="1">
      <c r="A29" s="4" t="s">
        <v>11</v>
      </c>
      <c r="B29" s="5"/>
      <c r="D29" s="4" t="s">
        <v>156</v>
      </c>
      <c r="E29" s="5">
        <v>1918</v>
      </c>
      <c r="G29" s="1" t="s">
        <v>48</v>
      </c>
      <c r="H29" s="26">
        <f>SUM(H9:N9)</f>
        <v>671</v>
      </c>
    </row>
    <row r="30" spans="1:12" ht="15.75" customHeight="1">
      <c r="A30" s="4" t="s">
        <v>13</v>
      </c>
      <c r="B30" s="5"/>
      <c r="D30" s="4" t="s">
        <v>148</v>
      </c>
      <c r="E30" s="5">
        <v>361.58</v>
      </c>
      <c r="G30" s="1" t="s">
        <v>49</v>
      </c>
      <c r="H30" s="5">
        <f>H21/H29</f>
        <v>95.353204172876303</v>
      </c>
    </row>
    <row r="31" spans="1:12" ht="15.75" customHeight="1">
      <c r="A31" s="4" t="s">
        <v>15</v>
      </c>
      <c r="B31" s="5"/>
      <c r="D31" s="4" t="s">
        <v>56</v>
      </c>
      <c r="E31" s="5"/>
      <c r="G31" s="1" t="s">
        <v>50</v>
      </c>
      <c r="H31" s="5">
        <f>H23/H29</f>
        <v>47.21397913561848</v>
      </c>
    </row>
    <row r="32" spans="1:12" ht="15.75" customHeight="1">
      <c r="A32" s="4" t="s">
        <v>18</v>
      </c>
      <c r="B32" s="5"/>
      <c r="D32" s="4" t="s">
        <v>157</v>
      </c>
      <c r="E32" s="5">
        <v>2331</v>
      </c>
      <c r="G32" s="1" t="s">
        <v>51</v>
      </c>
      <c r="H32" s="5">
        <f>H22/H29</f>
        <v>48.139225037257823</v>
      </c>
    </row>
    <row r="33" spans="1:5" ht="15.75" customHeight="1">
      <c r="A33" s="4" t="s">
        <v>20</v>
      </c>
      <c r="B33" s="5"/>
      <c r="D33" s="4" t="s">
        <v>158</v>
      </c>
      <c r="E33" s="5">
        <v>310</v>
      </c>
    </row>
    <row r="34" spans="1:5" ht="15.75" customHeight="1">
      <c r="D34" s="4" t="s">
        <v>159</v>
      </c>
      <c r="E34" s="5">
        <v>1783.84</v>
      </c>
    </row>
    <row r="35" spans="1:5" ht="15.75" customHeight="1">
      <c r="D35" s="4" t="s">
        <v>57</v>
      </c>
      <c r="E35" s="5"/>
    </row>
    <row r="36" spans="1:5" ht="15.75" customHeight="1">
      <c r="D36" s="4" t="s">
        <v>58</v>
      </c>
      <c r="E36" s="5"/>
    </row>
    <row r="37" spans="1:5" ht="15.75" customHeight="1">
      <c r="D37" s="28" t="s">
        <v>53</v>
      </c>
      <c r="E37" s="29">
        <f>SUM(E29:E36)</f>
        <v>6704.42</v>
      </c>
    </row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5"/>
  <sheetViews>
    <sheetView zoomScale="73" zoomScaleNormal="73" workbookViewId="0">
      <selection activeCell="D39" sqref="D39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135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12286</v>
      </c>
      <c r="D4" s="1" t="s">
        <v>3</v>
      </c>
      <c r="E4" s="2">
        <v>7363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830</v>
      </c>
      <c r="D5" s="4" t="s">
        <v>11</v>
      </c>
      <c r="E5" s="5">
        <v>540</v>
      </c>
      <c r="G5" s="3" t="s">
        <v>12</v>
      </c>
      <c r="H5" s="6">
        <f>B4</f>
        <v>12286</v>
      </c>
      <c r="I5" s="6">
        <f>B12</f>
        <v>9849</v>
      </c>
      <c r="J5" s="6">
        <f>B20</f>
        <v>9569</v>
      </c>
      <c r="K5" s="6">
        <f>E4</f>
        <v>7363</v>
      </c>
      <c r="L5" s="7">
        <f>B28</f>
        <v>6388</v>
      </c>
      <c r="M5" s="7">
        <f>E12</f>
        <v>9110</v>
      </c>
      <c r="N5" s="7">
        <f>E20</f>
        <v>10517</v>
      </c>
    </row>
    <row r="6" spans="1:14">
      <c r="A6" s="4" t="s">
        <v>13</v>
      </c>
      <c r="B6" s="5">
        <v>1307</v>
      </c>
      <c r="D6" s="4" t="s">
        <v>13</v>
      </c>
      <c r="E6" s="5">
        <v>950.5</v>
      </c>
      <c r="G6" s="3" t="s">
        <v>14</v>
      </c>
      <c r="H6" s="64">
        <f>H8*0.4</f>
        <v>26032.800000000003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305</v>
      </c>
      <c r="D7" s="4" t="s">
        <v>15</v>
      </c>
      <c r="E7" s="5">
        <v>177</v>
      </c>
      <c r="G7" s="3" t="s">
        <v>16</v>
      </c>
      <c r="H7" s="64">
        <f>H8*0.6</f>
        <v>39049.199999999997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245</v>
      </c>
      <c r="D8" s="4" t="s">
        <v>18</v>
      </c>
      <c r="E8" s="5">
        <v>147</v>
      </c>
      <c r="G8" s="3" t="s">
        <v>19</v>
      </c>
      <c r="H8" s="65">
        <f>SUM(H5:N5)</f>
        <v>65082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1572</v>
      </c>
      <c r="D9" s="4" t="s">
        <v>20</v>
      </c>
      <c r="E9" s="5">
        <v>3886.88</v>
      </c>
      <c r="G9" s="3" t="s">
        <v>21</v>
      </c>
      <c r="H9" s="4">
        <v>134</v>
      </c>
      <c r="I9" s="4">
        <v>95</v>
      </c>
      <c r="J9" s="4">
        <v>72</v>
      </c>
      <c r="K9" s="4">
        <v>84</v>
      </c>
      <c r="L9" s="4">
        <v>102</v>
      </c>
      <c r="M9" s="4">
        <v>92</v>
      </c>
      <c r="N9" s="4">
        <v>95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9849</v>
      </c>
      <c r="D12" s="1" t="s">
        <v>3</v>
      </c>
      <c r="E12" s="2">
        <v>9110</v>
      </c>
      <c r="G12" s="1" t="s">
        <v>26</v>
      </c>
      <c r="H12" s="64">
        <f>E5+B5+B13+B21+E13+E21+B29</f>
        <v>4130</v>
      </c>
      <c r="I12" s="63"/>
      <c r="J12" s="63"/>
      <c r="K12" s="63"/>
      <c r="L12" s="10">
        <f>H12/H18</f>
        <v>6.8458239230880805E-2</v>
      </c>
    </row>
    <row r="13" spans="1:14">
      <c r="A13" s="4" t="s">
        <v>11</v>
      </c>
      <c r="B13" s="5">
        <v>1050</v>
      </c>
      <c r="D13" s="4" t="s">
        <v>11</v>
      </c>
      <c r="E13" s="5">
        <v>540</v>
      </c>
      <c r="G13" s="1" t="s">
        <v>27</v>
      </c>
      <c r="H13" s="64">
        <f t="shared" ref="H13:H16" si="0">E6+B6+B14+B22+B30+E14+E22</f>
        <v>5634.5</v>
      </c>
      <c r="I13" s="63"/>
      <c r="J13" s="63"/>
      <c r="K13" s="63"/>
      <c r="L13" s="10">
        <f>H13/H18</f>
        <v>9.3396597807844525E-2</v>
      </c>
    </row>
    <row r="14" spans="1:14">
      <c r="A14" s="4" t="s">
        <v>13</v>
      </c>
      <c r="B14" s="5">
        <v>654</v>
      </c>
      <c r="D14" s="4" t="s">
        <v>13</v>
      </c>
      <c r="E14" s="5">
        <v>757</v>
      </c>
      <c r="G14" s="1" t="s">
        <v>28</v>
      </c>
      <c r="H14" s="64">
        <f t="shared" si="0"/>
        <v>1380</v>
      </c>
      <c r="I14" s="63"/>
      <c r="J14" s="63"/>
      <c r="K14" s="63"/>
      <c r="L14" s="10">
        <f>H14/H18</f>
        <v>2.2874665893127241E-2</v>
      </c>
    </row>
    <row r="15" spans="1:14">
      <c r="A15" s="4" t="s">
        <v>15</v>
      </c>
      <c r="B15" s="5">
        <v>245</v>
      </c>
      <c r="D15" s="4" t="s">
        <v>15</v>
      </c>
      <c r="E15" s="5">
        <v>235</v>
      </c>
      <c r="G15" s="1" t="s">
        <v>59</v>
      </c>
      <c r="H15" s="64">
        <f t="shared" si="0"/>
        <v>1372</v>
      </c>
      <c r="I15" s="63"/>
      <c r="J15" s="63"/>
      <c r="K15" s="63"/>
      <c r="L15" s="10">
        <f>H15/H18</f>
        <v>2.2742059134326503E-2</v>
      </c>
    </row>
    <row r="16" spans="1:14">
      <c r="A16" s="4" t="s">
        <v>18</v>
      </c>
      <c r="B16" s="5">
        <v>197</v>
      </c>
      <c r="D16" s="4" t="s">
        <v>18</v>
      </c>
      <c r="E16" s="5">
        <v>182</v>
      </c>
      <c r="G16" s="1" t="s">
        <v>30</v>
      </c>
      <c r="H16" s="64">
        <f t="shared" si="0"/>
        <v>25545.97</v>
      </c>
      <c r="I16" s="63"/>
      <c r="J16" s="63"/>
      <c r="K16" s="63"/>
      <c r="L16" s="10">
        <f t="shared" ref="L16:L17" si="1">H16/H22</f>
        <v>0.42344603526510993</v>
      </c>
    </row>
    <row r="17" spans="1:12">
      <c r="A17" s="4" t="s">
        <v>20</v>
      </c>
      <c r="B17" s="5">
        <v>4969</v>
      </c>
      <c r="D17" s="4" t="s">
        <v>20</v>
      </c>
      <c r="E17" s="5">
        <v>1163</v>
      </c>
      <c r="G17" s="11" t="s">
        <v>31</v>
      </c>
      <c r="H17" s="66">
        <f>E41</f>
        <v>22266.28</v>
      </c>
      <c r="I17" s="63"/>
      <c r="J17" s="63"/>
      <c r="K17" s="67"/>
      <c r="L17" s="10">
        <f t="shared" si="1"/>
        <v>4.6844327565350019</v>
      </c>
    </row>
    <row r="18" spans="1:12">
      <c r="G18" s="12" t="s">
        <v>32</v>
      </c>
      <c r="H18" s="68">
        <f>H17+H16+H15+H14+H13+H12</f>
        <v>60328.75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9569</v>
      </c>
      <c r="D20" s="1" t="s">
        <v>3</v>
      </c>
      <c r="E20" s="2">
        <v>10517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540</v>
      </c>
      <c r="D21" s="4" t="s">
        <v>11</v>
      </c>
      <c r="E21" s="5">
        <v>90</v>
      </c>
      <c r="G21" s="13" t="s">
        <v>36</v>
      </c>
      <c r="H21" s="14">
        <f>H8</f>
        <v>65082</v>
      </c>
      <c r="I21" s="15"/>
    </row>
    <row r="22" spans="1:12" ht="15.75" customHeight="1">
      <c r="A22" s="4" t="s">
        <v>13</v>
      </c>
      <c r="B22" s="5">
        <v>700</v>
      </c>
      <c r="D22" s="4" t="s">
        <v>13</v>
      </c>
      <c r="E22" s="5">
        <v>1016</v>
      </c>
      <c r="G22" s="12" t="s">
        <v>37</v>
      </c>
      <c r="H22" s="16">
        <f>H18</f>
        <v>60328.75</v>
      </c>
      <c r="I22" s="15"/>
    </row>
    <row r="23" spans="1:12" ht="15.75" customHeight="1">
      <c r="A23" s="4" t="s">
        <v>15</v>
      </c>
      <c r="B23" s="5">
        <v>250</v>
      </c>
      <c r="D23" s="4" t="s">
        <v>15</v>
      </c>
      <c r="E23" s="5"/>
      <c r="G23" s="17" t="s">
        <v>38</v>
      </c>
      <c r="H23" s="18">
        <f>H21-H22</f>
        <v>4753.25</v>
      </c>
      <c r="I23" s="15"/>
    </row>
    <row r="24" spans="1:12" ht="15.75" customHeight="1">
      <c r="A24" s="4" t="s">
        <v>54</v>
      </c>
      <c r="B24" s="5">
        <v>191</v>
      </c>
      <c r="D24" s="4" t="s">
        <v>18</v>
      </c>
      <c r="E24" s="5">
        <v>283</v>
      </c>
      <c r="G24" s="19" t="s">
        <v>40</v>
      </c>
      <c r="H24" s="20">
        <f>H23*0.4</f>
        <v>1901.3000000000002</v>
      </c>
      <c r="I24" s="15"/>
    </row>
    <row r="25" spans="1:12" ht="15.75" customHeight="1">
      <c r="A25" s="4" t="s">
        <v>20</v>
      </c>
      <c r="B25" s="5">
        <v>5417.09</v>
      </c>
      <c r="D25" s="4" t="s">
        <v>20</v>
      </c>
      <c r="E25" s="5">
        <v>4693</v>
      </c>
      <c r="G25" s="1" t="s">
        <v>41</v>
      </c>
      <c r="H25" s="8">
        <f>H23*0.6</f>
        <v>2851.95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6388</v>
      </c>
      <c r="D28" s="23" t="s">
        <v>45</v>
      </c>
      <c r="E28" s="6" t="s">
        <v>46</v>
      </c>
      <c r="G28" s="24" t="s">
        <v>47</v>
      </c>
      <c r="H28" s="25">
        <f>H23/H21</f>
        <v>7.303478688423834E-2</v>
      </c>
    </row>
    <row r="29" spans="1:12" ht="15.75" customHeight="1">
      <c r="A29" s="4" t="s">
        <v>11</v>
      </c>
      <c r="B29" s="5">
        <v>540</v>
      </c>
      <c r="D29" s="4" t="s">
        <v>186</v>
      </c>
      <c r="E29" s="5">
        <v>1750</v>
      </c>
      <c r="G29" s="1" t="s">
        <v>48</v>
      </c>
      <c r="H29" s="26">
        <f>SUM(H9:N9)</f>
        <v>674</v>
      </c>
    </row>
    <row r="30" spans="1:12" ht="15.75" customHeight="1">
      <c r="A30" s="4" t="s">
        <v>13</v>
      </c>
      <c r="B30" s="5">
        <v>250</v>
      </c>
      <c r="D30" s="4" t="s">
        <v>139</v>
      </c>
      <c r="E30" s="5">
        <v>2627.48</v>
      </c>
      <c r="G30" s="1" t="s">
        <v>49</v>
      </c>
      <c r="H30" s="5">
        <f>H21/H29</f>
        <v>96.560830860534125</v>
      </c>
    </row>
    <row r="31" spans="1:12" ht="15.75" customHeight="1">
      <c r="A31" s="4" t="s">
        <v>15</v>
      </c>
      <c r="B31" s="5">
        <v>168</v>
      </c>
      <c r="D31" s="4" t="s">
        <v>149</v>
      </c>
      <c r="E31" s="5">
        <v>361.58</v>
      </c>
      <c r="G31" s="1" t="s">
        <v>50</v>
      </c>
      <c r="H31" s="5">
        <f>H23/H29</f>
        <v>7.0522997032640946</v>
      </c>
    </row>
    <row r="32" spans="1:12" ht="15.75" customHeight="1">
      <c r="A32" s="4" t="s">
        <v>18</v>
      </c>
      <c r="B32" s="5">
        <v>127</v>
      </c>
      <c r="D32" s="4" t="s">
        <v>138</v>
      </c>
      <c r="E32" s="5">
        <v>8200</v>
      </c>
      <c r="G32" s="1" t="s">
        <v>51</v>
      </c>
      <c r="H32" s="5">
        <f>H22/H29</f>
        <v>89.508531157270028</v>
      </c>
    </row>
    <row r="33" spans="1:5" ht="15.75" customHeight="1">
      <c r="A33" s="4" t="s">
        <v>20</v>
      </c>
      <c r="B33" s="5">
        <v>3845</v>
      </c>
      <c r="D33" s="4" t="s">
        <v>160</v>
      </c>
      <c r="E33" s="5">
        <v>310</v>
      </c>
    </row>
    <row r="34" spans="1:5" s="53" customFormat="1" ht="15.75" customHeight="1">
      <c r="A34" s="54"/>
      <c r="B34" s="55"/>
      <c r="D34" s="4" t="s">
        <v>189</v>
      </c>
      <c r="E34" s="5">
        <v>1680</v>
      </c>
    </row>
    <row r="35" spans="1:5" s="53" customFormat="1" ht="15.75" customHeight="1">
      <c r="A35" s="54"/>
      <c r="B35" s="55"/>
      <c r="D35" s="4" t="s">
        <v>193</v>
      </c>
      <c r="E35" s="5">
        <v>1929</v>
      </c>
    </row>
    <row r="36" spans="1:5" s="53" customFormat="1" ht="15.75" customHeight="1">
      <c r="A36" s="54"/>
      <c r="B36" s="55"/>
      <c r="D36" s="4" t="s">
        <v>162</v>
      </c>
      <c r="E36" s="5">
        <v>0</v>
      </c>
    </row>
    <row r="37" spans="1:5" s="53" customFormat="1" ht="15.75" customHeight="1">
      <c r="A37" s="54"/>
      <c r="B37" s="55"/>
      <c r="D37" s="4" t="s">
        <v>185</v>
      </c>
      <c r="E37" s="5">
        <v>1770</v>
      </c>
    </row>
    <row r="38" spans="1:5" ht="15.75" customHeight="1">
      <c r="D38" s="4" t="s">
        <v>161</v>
      </c>
      <c r="E38" s="5">
        <v>1868.22</v>
      </c>
    </row>
    <row r="39" spans="1:5" s="56" customFormat="1" ht="15.75" customHeight="1">
      <c r="D39" s="4" t="s">
        <v>210</v>
      </c>
      <c r="E39" s="5">
        <v>1770</v>
      </c>
    </row>
    <row r="40" spans="1:5" ht="15.75" customHeight="1">
      <c r="D40" s="4" t="s">
        <v>60</v>
      </c>
      <c r="E40" s="5"/>
    </row>
    <row r="41" spans="1:5" ht="15.75" customHeight="1">
      <c r="D41" s="28" t="s">
        <v>53</v>
      </c>
      <c r="E41" s="29">
        <f>SUM(E29:E40)</f>
        <v>22266.28</v>
      </c>
    </row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03"/>
  <sheetViews>
    <sheetView topLeftCell="A3" zoomScale="75" zoomScaleNormal="75" workbookViewId="0">
      <selection activeCell="M11" sqref="M1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136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9452</v>
      </c>
      <c r="D4" s="1" t="s">
        <v>3</v>
      </c>
      <c r="E4" s="2">
        <v>6624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800</v>
      </c>
      <c r="D5" s="4" t="s">
        <v>11</v>
      </c>
      <c r="E5" s="5">
        <v>540</v>
      </c>
      <c r="G5" s="3" t="s">
        <v>12</v>
      </c>
      <c r="H5" s="6">
        <f>B4</f>
        <v>9452</v>
      </c>
      <c r="I5" s="6">
        <f>B12</f>
        <v>12668</v>
      </c>
      <c r="J5" s="6">
        <f>B20</f>
        <v>4985</v>
      </c>
      <c r="K5" s="6">
        <f>E4</f>
        <v>6624</v>
      </c>
      <c r="L5" s="7">
        <f>B28</f>
        <v>6588</v>
      </c>
      <c r="M5" s="7">
        <f>E12</f>
        <v>7080</v>
      </c>
      <c r="N5" s="7">
        <f>E20</f>
        <v>10090</v>
      </c>
    </row>
    <row r="6" spans="1:14">
      <c r="A6" s="4" t="s">
        <v>13</v>
      </c>
      <c r="B6" s="5">
        <v>1005</v>
      </c>
      <c r="D6" s="4" t="s">
        <v>13</v>
      </c>
      <c r="E6" s="5">
        <v>700</v>
      </c>
      <c r="G6" s="3" t="s">
        <v>14</v>
      </c>
      <c r="H6" s="64">
        <f>H8*0.4</f>
        <v>22994.800000000003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230</v>
      </c>
      <c r="D7" s="4" t="s">
        <v>15</v>
      </c>
      <c r="E7" s="5">
        <v>162</v>
      </c>
      <c r="G7" s="3" t="s">
        <v>16</v>
      </c>
      <c r="H7" s="64">
        <f>H8*0.6</f>
        <v>34492.199999999997</v>
      </c>
      <c r="I7" s="63"/>
      <c r="J7" s="63"/>
      <c r="K7" s="63"/>
      <c r="L7" s="63"/>
      <c r="M7" s="63"/>
      <c r="N7" s="61"/>
    </row>
    <row r="8" spans="1:14">
      <c r="A8" s="4" t="s">
        <v>17</v>
      </c>
      <c r="B8" s="5">
        <v>189</v>
      </c>
      <c r="D8" s="4" t="s">
        <v>18</v>
      </c>
      <c r="E8" s="5">
        <v>132</v>
      </c>
      <c r="G8" s="3" t="s">
        <v>19</v>
      </c>
      <c r="H8" s="65">
        <f>SUM(H5:N5)</f>
        <v>57487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4502</v>
      </c>
      <c r="D9" s="4" t="s">
        <v>20</v>
      </c>
      <c r="E9" s="5">
        <v>2324</v>
      </c>
      <c r="G9" s="3" t="s">
        <v>21</v>
      </c>
      <c r="H9" s="4">
        <v>136</v>
      </c>
      <c r="I9" s="4">
        <v>93</v>
      </c>
      <c r="J9" s="4">
        <v>72</v>
      </c>
      <c r="K9" s="4">
        <v>85</v>
      </c>
      <c r="L9" s="4">
        <v>103</v>
      </c>
      <c r="M9" s="4">
        <v>92</v>
      </c>
      <c r="N9" s="4">
        <v>93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12668</v>
      </c>
      <c r="D12" s="1" t="s">
        <v>3</v>
      </c>
      <c r="E12" s="2">
        <v>7080</v>
      </c>
      <c r="G12" s="1" t="s">
        <v>26</v>
      </c>
      <c r="H12" s="64">
        <f>E5+B5+B13+B21+E13+E21+B29</f>
        <v>3720</v>
      </c>
      <c r="I12" s="63"/>
      <c r="J12" s="63"/>
      <c r="K12" s="63"/>
      <c r="L12" s="10">
        <f>H12/H18</f>
        <v>8.2681512591594231E-2</v>
      </c>
    </row>
    <row r="13" spans="1:14">
      <c r="A13" s="4" t="s">
        <v>11</v>
      </c>
      <c r="B13" s="5">
        <v>700</v>
      </c>
      <c r="D13" s="4" t="s">
        <v>11</v>
      </c>
      <c r="E13" s="5">
        <v>510</v>
      </c>
      <c r="G13" s="1" t="s">
        <v>27</v>
      </c>
      <c r="H13" s="64">
        <f t="shared" ref="H13:H16" si="0">E6+B6+B14+B22+B30+E14+E22</f>
        <v>4936</v>
      </c>
      <c r="I13" s="63"/>
      <c r="J13" s="63"/>
      <c r="K13" s="63"/>
      <c r="L13" s="10">
        <f>H13/H18</f>
        <v>0.10970858767529815</v>
      </c>
    </row>
    <row r="14" spans="1:14">
      <c r="A14" s="4" t="s">
        <v>13</v>
      </c>
      <c r="B14" s="5">
        <v>1300</v>
      </c>
      <c r="D14" s="4" t="s">
        <v>13</v>
      </c>
      <c r="E14" s="5">
        <v>430</v>
      </c>
      <c r="G14" s="1" t="s">
        <v>28</v>
      </c>
      <c r="H14" s="64">
        <f t="shared" si="0"/>
        <v>1467</v>
      </c>
      <c r="I14" s="63"/>
      <c r="J14" s="63"/>
      <c r="K14" s="63"/>
      <c r="L14" s="10">
        <f>H14/H18</f>
        <v>3.2605854562330304E-2</v>
      </c>
    </row>
    <row r="15" spans="1:14">
      <c r="A15" s="4" t="s">
        <v>15</v>
      </c>
      <c r="B15" s="5">
        <v>321</v>
      </c>
      <c r="D15" s="4" t="s">
        <v>15</v>
      </c>
      <c r="E15" s="5">
        <v>185</v>
      </c>
      <c r="G15" s="1" t="s">
        <v>59</v>
      </c>
      <c r="H15" s="64">
        <f t="shared" si="0"/>
        <v>947</v>
      </c>
      <c r="I15" s="63"/>
      <c r="J15" s="63"/>
      <c r="K15" s="63"/>
      <c r="L15" s="10">
        <f>H15/H18</f>
        <v>2.1048223769956919E-2</v>
      </c>
    </row>
    <row r="16" spans="1:14">
      <c r="A16" s="4" t="s">
        <v>18</v>
      </c>
      <c r="B16" s="5">
        <v>254</v>
      </c>
      <c r="D16" s="4" t="s">
        <v>18</v>
      </c>
      <c r="E16" s="5">
        <v>140</v>
      </c>
      <c r="G16" s="1" t="s">
        <v>30</v>
      </c>
      <c r="H16" s="64">
        <f t="shared" si="0"/>
        <v>20640</v>
      </c>
      <c r="I16" s="63"/>
      <c r="J16" s="63"/>
      <c r="K16" s="63"/>
      <c r="L16" s="10">
        <f t="shared" ref="L16:L17" si="1">H16/H22</f>
        <v>0.45874903760497443</v>
      </c>
    </row>
    <row r="17" spans="1:12">
      <c r="A17" s="4" t="s">
        <v>20</v>
      </c>
      <c r="B17" s="5">
        <v>5246</v>
      </c>
      <c r="D17" s="4" t="s">
        <v>20</v>
      </c>
      <c r="E17" s="5">
        <v>440</v>
      </c>
      <c r="G17" s="11" t="s">
        <v>31</v>
      </c>
      <c r="H17" s="66">
        <f>E42</f>
        <v>13281.92</v>
      </c>
      <c r="I17" s="63"/>
      <c r="J17" s="63"/>
      <c r="K17" s="67"/>
      <c r="L17" s="10">
        <f t="shared" si="1"/>
        <v>1.0629719857736004</v>
      </c>
    </row>
    <row r="18" spans="1:12">
      <c r="G18" s="12" t="s">
        <v>32</v>
      </c>
      <c r="H18" s="68">
        <f>H17+H16+H15+H14+H13+H12</f>
        <v>44991.92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4985</v>
      </c>
      <c r="D20" s="1" t="s">
        <v>3</v>
      </c>
      <c r="E20" s="2">
        <v>10090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540</v>
      </c>
      <c r="D21" s="4" t="s">
        <v>11</v>
      </c>
      <c r="E21" s="5">
        <v>90</v>
      </c>
      <c r="G21" s="13" t="s">
        <v>36</v>
      </c>
      <c r="H21" s="14">
        <f>H8</f>
        <v>57487</v>
      </c>
      <c r="I21" s="15"/>
    </row>
    <row r="22" spans="1:12" ht="15.75" customHeight="1">
      <c r="A22" s="4" t="s">
        <v>13</v>
      </c>
      <c r="B22" s="5">
        <v>746</v>
      </c>
      <c r="D22" s="4" t="s">
        <v>13</v>
      </c>
      <c r="E22" s="5">
        <v>305</v>
      </c>
      <c r="G22" s="12" t="s">
        <v>37</v>
      </c>
      <c r="H22" s="16">
        <f>H18</f>
        <v>44991.92</v>
      </c>
      <c r="I22" s="15"/>
    </row>
    <row r="23" spans="1:12" ht="15.75" customHeight="1">
      <c r="A23" s="4" t="s">
        <v>15</v>
      </c>
      <c r="B23" s="5">
        <v>111</v>
      </c>
      <c r="D23" s="4" t="s">
        <v>15</v>
      </c>
      <c r="E23" s="5">
        <v>290</v>
      </c>
      <c r="G23" s="17" t="s">
        <v>38</v>
      </c>
      <c r="H23" s="18">
        <f>H21-H22</f>
        <v>12495.080000000002</v>
      </c>
      <c r="I23" s="15"/>
    </row>
    <row r="24" spans="1:12" ht="15.75" customHeight="1">
      <c r="A24" s="4" t="s">
        <v>39</v>
      </c>
      <c r="B24" s="5">
        <v>100</v>
      </c>
      <c r="D24" s="4" t="s">
        <v>18</v>
      </c>
      <c r="E24" s="5"/>
      <c r="G24" s="19" t="s">
        <v>40</v>
      </c>
      <c r="H24" s="20">
        <f>H23*0.4</f>
        <v>4998.0320000000011</v>
      </c>
      <c r="I24" s="15"/>
    </row>
    <row r="25" spans="1:12" ht="15.75" customHeight="1">
      <c r="A25" s="4" t="s">
        <v>20</v>
      </c>
      <c r="B25" s="5">
        <v>2729</v>
      </c>
      <c r="D25" s="4" t="s">
        <v>20</v>
      </c>
      <c r="E25" s="5">
        <v>3836</v>
      </c>
      <c r="G25" s="1" t="s">
        <v>41</v>
      </c>
      <c r="H25" s="8">
        <f>H23*0.6</f>
        <v>7497.0480000000007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6588</v>
      </c>
      <c r="D28" s="23" t="s">
        <v>45</v>
      </c>
      <c r="E28" s="6" t="s">
        <v>46</v>
      </c>
      <c r="G28" s="24" t="s">
        <v>47</v>
      </c>
      <c r="H28" s="25">
        <f>H23/H21</f>
        <v>0.21735488023379201</v>
      </c>
    </row>
    <row r="29" spans="1:12" ht="15.75" customHeight="1">
      <c r="A29" s="4" t="s">
        <v>11</v>
      </c>
      <c r="B29" s="5">
        <v>540</v>
      </c>
      <c r="D29" s="4" t="s">
        <v>141</v>
      </c>
      <c r="E29" s="5">
        <v>1288</v>
      </c>
      <c r="G29" s="1" t="s">
        <v>48</v>
      </c>
      <c r="H29" s="26">
        <f>SUM(H9:N9)</f>
        <v>674</v>
      </c>
    </row>
    <row r="30" spans="1:12" ht="15.75" customHeight="1">
      <c r="A30" s="4" t="s">
        <v>13</v>
      </c>
      <c r="B30" s="5">
        <v>450</v>
      </c>
      <c r="D30" s="4" t="s">
        <v>52</v>
      </c>
      <c r="E30" s="5">
        <v>200</v>
      </c>
      <c r="G30" s="1" t="s">
        <v>49</v>
      </c>
      <c r="H30" s="5">
        <f>H21/H29</f>
        <v>85.292284866468847</v>
      </c>
    </row>
    <row r="31" spans="1:12" ht="15.75" customHeight="1">
      <c r="A31" s="4" t="s">
        <v>15</v>
      </c>
      <c r="B31" s="5">
        <v>168</v>
      </c>
      <c r="D31" s="4" t="s">
        <v>150</v>
      </c>
      <c r="E31" s="5">
        <v>361.58</v>
      </c>
      <c r="G31" s="1" t="s">
        <v>50</v>
      </c>
      <c r="H31" s="5">
        <f>H23/H29</f>
        <v>18.538694362017807</v>
      </c>
    </row>
    <row r="32" spans="1:12" ht="15.75" customHeight="1">
      <c r="A32" s="4" t="s">
        <v>18</v>
      </c>
      <c r="B32" s="5">
        <v>132</v>
      </c>
      <c r="D32" s="4" t="s">
        <v>187</v>
      </c>
      <c r="E32" s="5">
        <v>1750</v>
      </c>
      <c r="G32" s="1" t="s">
        <v>51</v>
      </c>
      <c r="H32" s="5">
        <f>H22/H29</f>
        <v>66.75359050445104</v>
      </c>
    </row>
    <row r="33" spans="1:5" ht="15.75" customHeight="1">
      <c r="A33" s="4" t="s">
        <v>20</v>
      </c>
      <c r="B33" s="5">
        <v>1563</v>
      </c>
      <c r="D33" s="4" t="s">
        <v>165</v>
      </c>
      <c r="E33" s="5">
        <v>310</v>
      </c>
    </row>
    <row r="34" spans="1:5" s="53" customFormat="1" ht="15.75" customHeight="1">
      <c r="A34" s="54"/>
      <c r="B34" s="55"/>
      <c r="D34" s="4" t="s">
        <v>190</v>
      </c>
      <c r="E34" s="5">
        <v>1680</v>
      </c>
    </row>
    <row r="35" spans="1:5" s="53" customFormat="1" ht="15.75" customHeight="1">
      <c r="A35" s="54"/>
      <c r="B35" s="55"/>
      <c r="D35" s="4" t="s">
        <v>188</v>
      </c>
      <c r="E35" s="5">
        <v>1929</v>
      </c>
    </row>
    <row r="36" spans="1:5" ht="15.75" customHeight="1">
      <c r="A36" s="21"/>
      <c r="B36" s="30"/>
      <c r="D36" s="4" t="s">
        <v>61</v>
      </c>
      <c r="E36" s="5"/>
    </row>
    <row r="37" spans="1:5" s="53" customFormat="1" ht="15.75" customHeight="1">
      <c r="A37" s="21"/>
      <c r="B37" s="30"/>
      <c r="D37" s="4" t="s">
        <v>164</v>
      </c>
      <c r="E37" s="5">
        <v>1868.94</v>
      </c>
    </row>
    <row r="38" spans="1:5" ht="14.25" customHeight="1">
      <c r="D38" s="4" t="s">
        <v>163</v>
      </c>
      <c r="E38" s="5">
        <v>1894.4</v>
      </c>
    </row>
    <row r="39" spans="1:5" ht="14.25" customHeight="1">
      <c r="D39" s="4" t="s">
        <v>140</v>
      </c>
      <c r="E39" s="5">
        <v>200</v>
      </c>
    </row>
    <row r="40" spans="1:5" ht="15.75" customHeight="1">
      <c r="D40" s="4" t="s">
        <v>62</v>
      </c>
      <c r="E40" s="5"/>
    </row>
    <row r="41" spans="1:5" ht="15.75" customHeight="1">
      <c r="D41" s="4" t="s">
        <v>63</v>
      </c>
      <c r="E41" s="5">
        <v>1800</v>
      </c>
    </row>
    <row r="42" spans="1:5" ht="15.75" customHeight="1">
      <c r="D42" s="28" t="s">
        <v>53</v>
      </c>
      <c r="E42" s="29">
        <f>SUM(E29:E41)</f>
        <v>13281.92</v>
      </c>
    </row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001"/>
  <sheetViews>
    <sheetView zoomScale="75" zoomScaleNormal="75" workbookViewId="0">
      <selection activeCell="E31" sqref="E3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137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9679</v>
      </c>
      <c r="D4" s="1" t="s">
        <v>3</v>
      </c>
      <c r="E4" s="2">
        <v>8735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800</v>
      </c>
      <c r="D5" s="4" t="s">
        <v>11</v>
      </c>
      <c r="E5" s="5">
        <v>540</v>
      </c>
      <c r="G5" s="3" t="s">
        <v>12</v>
      </c>
      <c r="H5" s="6">
        <f>B4</f>
        <v>9679</v>
      </c>
      <c r="I5" s="6">
        <f>B12</f>
        <v>9868</v>
      </c>
      <c r="J5" s="6">
        <f>B20</f>
        <v>7558</v>
      </c>
      <c r="K5" s="6">
        <f>E4</f>
        <v>8735</v>
      </c>
      <c r="L5" s="7">
        <f>B28</f>
        <v>6767</v>
      </c>
      <c r="M5" s="7">
        <f>E12</f>
        <v>7811</v>
      </c>
      <c r="N5" s="7">
        <f>E20</f>
        <v>11300</v>
      </c>
    </row>
    <row r="6" spans="1:14">
      <c r="A6" s="4" t="s">
        <v>13</v>
      </c>
      <c r="B6" s="5">
        <v>450</v>
      </c>
      <c r="D6" s="4" t="s">
        <v>13</v>
      </c>
      <c r="E6" s="5">
        <v>502</v>
      </c>
      <c r="G6" s="3" t="s">
        <v>14</v>
      </c>
      <c r="H6" s="64">
        <f>H8*0.4</f>
        <v>24687.200000000001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253</v>
      </c>
      <c r="D7" s="4" t="s">
        <v>15</v>
      </c>
      <c r="E7" s="5">
        <v>231</v>
      </c>
      <c r="G7" s="3" t="s">
        <v>16</v>
      </c>
      <c r="H7" s="64">
        <f>H8*0.6</f>
        <v>37030.799999999996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194</v>
      </c>
      <c r="D8" s="4" t="s">
        <v>18</v>
      </c>
      <c r="E8" s="5">
        <v>174</v>
      </c>
      <c r="G8" s="3" t="s">
        <v>19</v>
      </c>
      <c r="H8" s="65">
        <f>SUM(H5:N5)</f>
        <v>61718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2252</v>
      </c>
      <c r="D9" s="4" t="s">
        <v>20</v>
      </c>
      <c r="E9" s="5">
        <v>3399</v>
      </c>
      <c r="G9" s="3" t="s">
        <v>21</v>
      </c>
      <c r="H9" s="4">
        <v>137</v>
      </c>
      <c r="I9" s="4">
        <v>93</v>
      </c>
      <c r="J9" s="4">
        <v>73</v>
      </c>
      <c r="K9" s="4">
        <v>85</v>
      </c>
      <c r="L9" s="4">
        <v>103</v>
      </c>
      <c r="M9" s="4">
        <v>89</v>
      </c>
      <c r="N9" s="4">
        <v>92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9868</v>
      </c>
      <c r="D12" s="1" t="s">
        <v>3</v>
      </c>
      <c r="E12" s="2">
        <v>7811</v>
      </c>
      <c r="G12" s="1" t="s">
        <v>26</v>
      </c>
      <c r="H12" s="64">
        <f>E5+B5+B13+B21+E13+E21+B29</f>
        <v>3750</v>
      </c>
      <c r="I12" s="63"/>
      <c r="J12" s="63"/>
      <c r="K12" s="63"/>
      <c r="L12" s="10">
        <f>H12/H18</f>
        <v>9.2466016889472771E-2</v>
      </c>
    </row>
    <row r="13" spans="1:14">
      <c r="A13" s="4" t="s">
        <v>11</v>
      </c>
      <c r="B13" s="5">
        <v>700</v>
      </c>
      <c r="D13" s="4" t="s">
        <v>11</v>
      </c>
      <c r="E13" s="5">
        <v>540</v>
      </c>
      <c r="G13" s="1" t="s">
        <v>27</v>
      </c>
      <c r="H13" s="64">
        <f t="shared" ref="H13:H16" si="0">E6+B6+B14+B22+B30+E14+E22</f>
        <v>3282</v>
      </c>
      <c r="I13" s="63"/>
      <c r="J13" s="63"/>
      <c r="K13" s="63"/>
      <c r="L13" s="10">
        <f>H13/H18</f>
        <v>8.0926257981666569E-2</v>
      </c>
    </row>
    <row r="14" spans="1:14">
      <c r="A14" s="4" t="s">
        <v>13</v>
      </c>
      <c r="B14" s="5">
        <v>500</v>
      </c>
      <c r="D14" s="4" t="s">
        <v>13</v>
      </c>
      <c r="E14" s="5">
        <v>589</v>
      </c>
      <c r="G14" s="1" t="s">
        <v>28</v>
      </c>
      <c r="H14" s="64">
        <f t="shared" si="0"/>
        <v>1622</v>
      </c>
      <c r="I14" s="63"/>
      <c r="J14" s="63"/>
      <c r="K14" s="63"/>
      <c r="L14" s="10">
        <f>H14/H18</f>
        <v>3.999463450525996E-2</v>
      </c>
    </row>
    <row r="15" spans="1:14">
      <c r="A15" s="4" t="s">
        <v>15</v>
      </c>
      <c r="B15" s="5">
        <v>260</v>
      </c>
      <c r="D15" s="4" t="s">
        <v>15</v>
      </c>
      <c r="E15" s="5">
        <v>200</v>
      </c>
      <c r="G15" s="1" t="s">
        <v>55</v>
      </c>
      <c r="H15" s="64">
        <f t="shared" si="0"/>
        <v>1082</v>
      </c>
      <c r="I15" s="63"/>
      <c r="J15" s="63"/>
      <c r="K15" s="63"/>
      <c r="L15" s="10">
        <f>H15/H18</f>
        <v>2.667952807317588E-2</v>
      </c>
    </row>
    <row r="16" spans="1:14">
      <c r="A16" s="4" t="s">
        <v>18</v>
      </c>
      <c r="B16" s="5">
        <v>197</v>
      </c>
      <c r="D16" s="4" t="s">
        <v>18</v>
      </c>
      <c r="E16" s="5">
        <v>156</v>
      </c>
      <c r="G16" s="1" t="s">
        <v>30</v>
      </c>
      <c r="H16" s="64">
        <f t="shared" si="0"/>
        <v>22174.5</v>
      </c>
      <c r="I16" s="63"/>
      <c r="J16" s="63"/>
      <c r="K16" s="63"/>
      <c r="L16" s="10">
        <f t="shared" ref="L16:L17" si="1">H16/H22</f>
        <v>0.54677005107083043</v>
      </c>
    </row>
    <row r="17" spans="1:12">
      <c r="A17" s="4" t="s">
        <v>20</v>
      </c>
      <c r="B17" s="5">
        <v>5187</v>
      </c>
      <c r="D17" s="4" t="s">
        <v>20</v>
      </c>
      <c r="E17" s="5">
        <v>1272</v>
      </c>
      <c r="G17" s="11" t="s">
        <v>31</v>
      </c>
      <c r="H17" s="66">
        <f>E39</f>
        <v>8644.9399999999987</v>
      </c>
      <c r="I17" s="63"/>
      <c r="J17" s="63"/>
      <c r="K17" s="67"/>
      <c r="L17" s="10">
        <f t="shared" si="1"/>
        <v>0.40850161795170337</v>
      </c>
    </row>
    <row r="18" spans="1:12">
      <c r="G18" s="12" t="s">
        <v>32</v>
      </c>
      <c r="H18" s="68">
        <f>H17+H16+H15+H14+H13+H12</f>
        <v>40555.440000000002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7558</v>
      </c>
      <c r="D20" s="1" t="s">
        <v>3</v>
      </c>
      <c r="E20" s="2">
        <v>11300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540</v>
      </c>
      <c r="D21" s="4" t="s">
        <v>11</v>
      </c>
      <c r="E21" s="5">
        <v>90</v>
      </c>
      <c r="G21" s="13" t="s">
        <v>36</v>
      </c>
      <c r="H21" s="14">
        <f>H8</f>
        <v>61718</v>
      </c>
      <c r="I21" s="15"/>
    </row>
    <row r="22" spans="1:12" ht="15.75" customHeight="1">
      <c r="A22" s="4" t="s">
        <v>13</v>
      </c>
      <c r="B22" s="5">
        <v>841</v>
      </c>
      <c r="D22" s="4" t="s">
        <v>13</v>
      </c>
      <c r="E22" s="5"/>
      <c r="G22" s="12" t="s">
        <v>37</v>
      </c>
      <c r="H22" s="16">
        <f>H18</f>
        <v>40555.440000000002</v>
      </c>
      <c r="I22" s="15"/>
    </row>
    <row r="23" spans="1:12" ht="15.75" customHeight="1">
      <c r="A23" s="4" t="s">
        <v>15</v>
      </c>
      <c r="B23" s="5">
        <v>185</v>
      </c>
      <c r="D23" s="4" t="s">
        <v>15</v>
      </c>
      <c r="E23" s="5">
        <v>318</v>
      </c>
      <c r="G23" s="17" t="s">
        <v>38</v>
      </c>
      <c r="H23" s="18">
        <f>H21-H22</f>
        <v>21162.559999999998</v>
      </c>
      <c r="I23" s="15"/>
    </row>
    <row r="24" spans="1:12" ht="15.75" customHeight="1">
      <c r="A24" s="4" t="s">
        <v>54</v>
      </c>
      <c r="B24" s="5">
        <v>226</v>
      </c>
      <c r="D24" s="4" t="s">
        <v>18</v>
      </c>
      <c r="E24" s="5"/>
      <c r="G24" s="19" t="s">
        <v>40</v>
      </c>
      <c r="H24" s="20">
        <f>H23*0.4</f>
        <v>8465.0239999999994</v>
      </c>
      <c r="I24" s="15"/>
    </row>
    <row r="25" spans="1:12" ht="15.75" customHeight="1">
      <c r="A25" s="4" t="s">
        <v>20</v>
      </c>
      <c r="B25" s="5">
        <v>280</v>
      </c>
      <c r="D25" s="4" t="s">
        <v>20</v>
      </c>
      <c r="E25" s="5">
        <v>5680</v>
      </c>
      <c r="G25" s="1" t="s">
        <v>41</v>
      </c>
      <c r="H25" s="8">
        <f>H23*0.6</f>
        <v>12697.535999999998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6767</v>
      </c>
      <c r="D28" s="23" t="s">
        <v>45</v>
      </c>
      <c r="E28" s="6" t="s">
        <v>46</v>
      </c>
      <c r="G28" s="31" t="s">
        <v>47</v>
      </c>
      <c r="H28" s="32">
        <f>H23/H21</f>
        <v>0.34289121488058583</v>
      </c>
    </row>
    <row r="29" spans="1:12" ht="15.75" customHeight="1">
      <c r="A29" s="4" t="s">
        <v>11</v>
      </c>
      <c r="B29" s="5">
        <v>540</v>
      </c>
      <c r="D29" s="4" t="s">
        <v>142</v>
      </c>
      <c r="E29" s="5">
        <v>2000</v>
      </c>
      <c r="G29" s="1" t="s">
        <v>48</v>
      </c>
      <c r="H29" s="26">
        <f>SUM(H9:N9)</f>
        <v>672</v>
      </c>
    </row>
    <row r="30" spans="1:12" ht="15.75" customHeight="1">
      <c r="A30" s="4" t="s">
        <v>13</v>
      </c>
      <c r="B30" s="5">
        <v>400</v>
      </c>
      <c r="D30" s="4" t="s">
        <v>194</v>
      </c>
      <c r="E30" s="5">
        <v>1929</v>
      </c>
      <c r="G30" s="1" t="s">
        <v>49</v>
      </c>
      <c r="H30" s="5">
        <f>H21/H29</f>
        <v>91.842261904761898</v>
      </c>
    </row>
    <row r="31" spans="1:12" ht="15.75" customHeight="1">
      <c r="A31" s="4" t="s">
        <v>15</v>
      </c>
      <c r="B31" s="5">
        <v>175</v>
      </c>
      <c r="D31" s="4" t="s">
        <v>151</v>
      </c>
      <c r="E31" s="5">
        <v>361.58</v>
      </c>
      <c r="G31" s="1" t="s">
        <v>50</v>
      </c>
      <c r="H31" s="5">
        <f>H23/H29</f>
        <v>31.49190476190476</v>
      </c>
    </row>
    <row r="32" spans="1:12" ht="15.75" customHeight="1">
      <c r="A32" s="4" t="s">
        <v>18</v>
      </c>
      <c r="B32" s="5">
        <v>135</v>
      </c>
      <c r="D32" s="4" t="s">
        <v>168</v>
      </c>
      <c r="E32" s="5">
        <v>0</v>
      </c>
      <c r="G32" s="1" t="s">
        <v>51</v>
      </c>
      <c r="H32" s="5">
        <f>H22/H29</f>
        <v>60.350357142857149</v>
      </c>
    </row>
    <row r="33" spans="1:7" ht="15.75" customHeight="1">
      <c r="A33" s="4" t="s">
        <v>20</v>
      </c>
      <c r="B33" s="5">
        <v>4104.5</v>
      </c>
      <c r="D33" s="4" t="s">
        <v>166</v>
      </c>
      <c r="E33" s="5">
        <v>310</v>
      </c>
    </row>
    <row r="34" spans="1:7" s="53" customFormat="1" ht="15.75" customHeight="1">
      <c r="A34" s="54"/>
      <c r="B34" s="55"/>
      <c r="D34" s="4" t="s">
        <v>191</v>
      </c>
      <c r="E34" s="5">
        <v>1680</v>
      </c>
    </row>
    <row r="35" spans="1:7" ht="15.75" customHeight="1">
      <c r="D35" s="4" t="s">
        <v>167</v>
      </c>
      <c r="E35" s="5">
        <v>1784.36</v>
      </c>
    </row>
    <row r="36" spans="1:7" ht="15.75" customHeight="1">
      <c r="D36" s="4" t="s">
        <v>62</v>
      </c>
      <c r="E36" s="5">
        <v>580</v>
      </c>
      <c r="G36" s="11" t="s">
        <v>64</v>
      </c>
    </row>
    <row r="37" spans="1:7" ht="15.75" customHeight="1">
      <c r="D37" s="4" t="s">
        <v>65</v>
      </c>
      <c r="E37" s="5"/>
      <c r="G37" s="11"/>
    </row>
    <row r="38" spans="1:7" ht="15.75" customHeight="1">
      <c r="D38" s="4" t="s">
        <v>66</v>
      </c>
      <c r="E38" s="5"/>
    </row>
    <row r="39" spans="1:7" ht="15.75" customHeight="1">
      <c r="D39" s="28" t="s">
        <v>53</v>
      </c>
      <c r="E39" s="29">
        <f>SUM(E29:E38)</f>
        <v>8644.9399999999987</v>
      </c>
    </row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00"/>
  <sheetViews>
    <sheetView zoomScale="75" zoomScaleNormal="75" workbookViewId="0">
      <selection sqref="A1:N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7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219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10235</v>
      </c>
      <c r="D4" s="1" t="s">
        <v>3</v>
      </c>
      <c r="E4" s="2">
        <v>6794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800</v>
      </c>
      <c r="D5" s="4" t="s">
        <v>11</v>
      </c>
      <c r="E5" s="5">
        <v>540</v>
      </c>
      <c r="G5" s="3" t="s">
        <v>12</v>
      </c>
      <c r="H5" s="6">
        <f>B4</f>
        <v>10235</v>
      </c>
      <c r="I5" s="6">
        <f>B12</f>
        <v>12238</v>
      </c>
      <c r="J5" s="6">
        <f>B20</f>
        <v>8059</v>
      </c>
      <c r="K5" s="6">
        <f>E4</f>
        <v>6794</v>
      </c>
      <c r="L5" s="7">
        <f>B28</f>
        <v>6557</v>
      </c>
      <c r="M5" s="7">
        <f>E12</f>
        <v>9294</v>
      </c>
      <c r="N5" s="7">
        <f>E20</f>
        <v>12698</v>
      </c>
    </row>
    <row r="6" spans="1:14">
      <c r="A6" s="4" t="s">
        <v>13</v>
      </c>
      <c r="B6" s="5">
        <v>733</v>
      </c>
      <c r="D6" s="4" t="s">
        <v>13</v>
      </c>
      <c r="E6" s="5">
        <v>350</v>
      </c>
      <c r="G6" s="3" t="s">
        <v>14</v>
      </c>
      <c r="H6" s="64">
        <f>H8*0.4</f>
        <v>26350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261</v>
      </c>
      <c r="D7" s="4" t="s">
        <v>15</v>
      </c>
      <c r="E7" s="5">
        <v>178</v>
      </c>
      <c r="G7" s="3" t="s">
        <v>16</v>
      </c>
      <c r="H7" s="64">
        <f>H8*0.6</f>
        <v>39525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205</v>
      </c>
      <c r="D8" s="4" t="s">
        <v>18</v>
      </c>
      <c r="E8" s="5">
        <v>135</v>
      </c>
      <c r="G8" s="3" t="s">
        <v>19</v>
      </c>
      <c r="H8" s="65">
        <f>SUM(H5:N5)</f>
        <v>65875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3340</v>
      </c>
      <c r="D9" s="4" t="s">
        <v>20</v>
      </c>
      <c r="E9" s="5">
        <v>3186</v>
      </c>
      <c r="G9" s="3" t="s">
        <v>21</v>
      </c>
      <c r="H9" s="4">
        <v>137</v>
      </c>
      <c r="I9" s="4">
        <v>94</v>
      </c>
      <c r="J9" s="4">
        <v>71</v>
      </c>
      <c r="K9" s="4">
        <v>86</v>
      </c>
      <c r="L9" s="4">
        <v>104</v>
      </c>
      <c r="M9" s="4">
        <v>88</v>
      </c>
      <c r="N9" s="4">
        <v>92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12238</v>
      </c>
      <c r="D12" s="1" t="s">
        <v>3</v>
      </c>
      <c r="E12" s="2">
        <v>9294</v>
      </c>
      <c r="G12" s="1" t="s">
        <v>26</v>
      </c>
      <c r="H12" s="64">
        <f>E5+B5+B13+B21+E13+E21+B29</f>
        <v>3850</v>
      </c>
      <c r="I12" s="63"/>
      <c r="J12" s="63"/>
      <c r="K12" s="63"/>
      <c r="L12" s="10">
        <f>H12/H18</f>
        <v>0.10141987829614604</v>
      </c>
    </row>
    <row r="13" spans="1:14">
      <c r="A13" s="4" t="s">
        <v>11</v>
      </c>
      <c r="B13" s="5">
        <v>700</v>
      </c>
      <c r="D13" s="4" t="s">
        <v>11</v>
      </c>
      <c r="E13" s="5">
        <v>540</v>
      </c>
      <c r="G13" s="1" t="s">
        <v>27</v>
      </c>
      <c r="H13" s="64">
        <f t="shared" ref="H13:H16" si="0">E6+B6+B14+B22+B30+E14+E22</f>
        <v>5087</v>
      </c>
      <c r="I13" s="63"/>
      <c r="J13" s="63"/>
      <c r="K13" s="63"/>
      <c r="L13" s="10">
        <f>H13/H18</f>
        <v>0.13400595347857011</v>
      </c>
    </row>
    <row r="14" spans="1:14">
      <c r="A14" s="4" t="s">
        <v>13</v>
      </c>
      <c r="B14" s="5">
        <v>1322</v>
      </c>
      <c r="D14" s="4" t="s">
        <v>13</v>
      </c>
      <c r="E14" s="5">
        <v>869</v>
      </c>
      <c r="G14" s="1" t="s">
        <v>28</v>
      </c>
      <c r="H14" s="64">
        <f t="shared" si="0"/>
        <v>1710</v>
      </c>
      <c r="I14" s="63"/>
      <c r="J14" s="63"/>
      <c r="K14" s="63"/>
      <c r="L14" s="10">
        <f>H14/H18</f>
        <v>4.5046231658807723E-2</v>
      </c>
    </row>
    <row r="15" spans="1:14">
      <c r="A15" s="4" t="s">
        <v>15</v>
      </c>
      <c r="B15" s="5">
        <v>307</v>
      </c>
      <c r="D15" s="4" t="s">
        <v>15</v>
      </c>
      <c r="E15" s="5">
        <v>237</v>
      </c>
      <c r="G15" s="1" t="s">
        <v>59</v>
      </c>
      <c r="H15" s="64">
        <f t="shared" si="0"/>
        <v>1061</v>
      </c>
      <c r="I15" s="63"/>
      <c r="J15" s="63"/>
      <c r="K15" s="63"/>
      <c r="L15" s="10">
        <f>H15/H18</f>
        <v>2.7949737888885964E-2</v>
      </c>
    </row>
    <row r="16" spans="1:14">
      <c r="A16" s="4" t="s">
        <v>18</v>
      </c>
      <c r="B16" s="5">
        <v>244</v>
      </c>
      <c r="D16" s="4" t="s">
        <v>18</v>
      </c>
      <c r="E16" s="5">
        <v>185</v>
      </c>
      <c r="G16" s="1" t="s">
        <v>30</v>
      </c>
      <c r="H16" s="64">
        <f t="shared" si="0"/>
        <v>26253</v>
      </c>
      <c r="I16" s="63"/>
      <c r="J16" s="63"/>
      <c r="K16" s="63"/>
      <c r="L16" s="10">
        <f t="shared" ref="L16:L17" si="1">H16/H22</f>
        <v>0.69157819867759018</v>
      </c>
    </row>
    <row r="17" spans="1:12">
      <c r="A17" s="4" t="s">
        <v>20</v>
      </c>
      <c r="B17" s="5">
        <v>2975</v>
      </c>
      <c r="D17" s="4" t="s">
        <v>20</v>
      </c>
      <c r="E17" s="5">
        <v>2025</v>
      </c>
      <c r="G17" s="11" t="s">
        <v>31</v>
      </c>
      <c r="H17" s="66">
        <f>E38</f>
        <v>0</v>
      </c>
      <c r="I17" s="63"/>
      <c r="J17" s="63"/>
      <c r="K17" s="67"/>
      <c r="L17" s="10">
        <f t="shared" si="1"/>
        <v>0</v>
      </c>
    </row>
    <row r="18" spans="1:12">
      <c r="G18" s="12" t="s">
        <v>32</v>
      </c>
      <c r="H18" s="68">
        <f>H17+H16+H15+H14+H13+H12</f>
        <v>37961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8059</v>
      </c>
      <c r="D20" s="1" t="s">
        <v>3</v>
      </c>
      <c r="E20" s="2">
        <v>12698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640</v>
      </c>
      <c r="D21" s="4" t="s">
        <v>11</v>
      </c>
      <c r="E21" s="5">
        <v>90</v>
      </c>
      <c r="G21" s="13" t="s">
        <v>36</v>
      </c>
      <c r="H21" s="14">
        <f>H8</f>
        <v>65875</v>
      </c>
      <c r="I21" s="15"/>
    </row>
    <row r="22" spans="1:12" ht="15.75" customHeight="1">
      <c r="A22" s="4" t="s">
        <v>13</v>
      </c>
      <c r="B22" s="5">
        <v>803</v>
      </c>
      <c r="D22" s="4" t="s">
        <v>13</v>
      </c>
      <c r="E22" s="5">
        <v>610</v>
      </c>
      <c r="G22" s="12" t="s">
        <v>37</v>
      </c>
      <c r="H22" s="16">
        <f>H18</f>
        <v>37961</v>
      </c>
      <c r="I22" s="15"/>
    </row>
    <row r="23" spans="1:12" ht="15.75" customHeight="1">
      <c r="A23" s="4" t="s">
        <v>15</v>
      </c>
      <c r="B23" s="5">
        <v>198</v>
      </c>
      <c r="D23" s="4" t="s">
        <v>15</v>
      </c>
      <c r="E23" s="5">
        <v>360</v>
      </c>
      <c r="G23" s="17" t="s">
        <v>38</v>
      </c>
      <c r="H23" s="18">
        <f>H21-H22</f>
        <v>27914</v>
      </c>
      <c r="I23" s="15"/>
    </row>
    <row r="24" spans="1:12" ht="15.75" customHeight="1">
      <c r="A24" s="4" t="s">
        <v>54</v>
      </c>
      <c r="B24" s="5">
        <v>161</v>
      </c>
      <c r="D24" s="4" t="s">
        <v>18</v>
      </c>
      <c r="E24" s="5"/>
      <c r="G24" s="19" t="s">
        <v>40</v>
      </c>
      <c r="H24" s="20">
        <f>H23*0.4</f>
        <v>11165.6</v>
      </c>
      <c r="I24" s="15"/>
    </row>
    <row r="25" spans="1:12" ht="15.75" customHeight="1">
      <c r="A25" s="4" t="s">
        <v>20</v>
      </c>
      <c r="B25" s="5">
        <v>5025</v>
      </c>
      <c r="D25" s="4" t="s">
        <v>20</v>
      </c>
      <c r="E25" s="5">
        <v>6992</v>
      </c>
      <c r="G25" s="1" t="s">
        <v>41</v>
      </c>
      <c r="H25" s="8">
        <f>H23*0.6</f>
        <v>16748.399999999998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6557</v>
      </c>
      <c r="D28" s="23" t="s">
        <v>45</v>
      </c>
      <c r="E28" s="6" t="s">
        <v>46</v>
      </c>
      <c r="G28" s="24" t="s">
        <v>47</v>
      </c>
      <c r="H28" s="25">
        <f>H23/H21</f>
        <v>0.42374193548387096</v>
      </c>
    </row>
    <row r="29" spans="1:12" ht="15.75" customHeight="1">
      <c r="A29" s="4" t="s">
        <v>11</v>
      </c>
      <c r="B29" s="5">
        <v>540</v>
      </c>
      <c r="D29" s="4" t="s">
        <v>192</v>
      </c>
      <c r="E29" s="5">
        <v>1929</v>
      </c>
      <c r="G29" s="1" t="s">
        <v>48</v>
      </c>
      <c r="H29" s="26">
        <f>SUM(H9:N9)</f>
        <v>672</v>
      </c>
    </row>
    <row r="30" spans="1:12" ht="15.75" customHeight="1">
      <c r="A30" s="4" t="s">
        <v>13</v>
      </c>
      <c r="B30" s="5">
        <v>400</v>
      </c>
      <c r="D30" s="4" t="s">
        <v>143</v>
      </c>
      <c r="E30" s="5">
        <v>2520</v>
      </c>
      <c r="G30" s="1" t="s">
        <v>49</v>
      </c>
      <c r="H30" s="5">
        <f>H21/H29</f>
        <v>98.02827380952381</v>
      </c>
    </row>
    <row r="31" spans="1:12" ht="15.75" customHeight="1">
      <c r="A31" s="4" t="s">
        <v>15</v>
      </c>
      <c r="B31" s="5">
        <v>169</v>
      </c>
      <c r="D31" s="4" t="s">
        <v>67</v>
      </c>
      <c r="E31" s="5"/>
      <c r="G31" s="1" t="s">
        <v>50</v>
      </c>
      <c r="H31" s="5">
        <f>H23/H29</f>
        <v>41.538690476190474</v>
      </c>
    </row>
    <row r="32" spans="1:12" ht="15.75" customHeight="1">
      <c r="A32" s="4" t="s">
        <v>18</v>
      </c>
      <c r="B32" s="5">
        <v>131</v>
      </c>
      <c r="D32" s="4" t="s">
        <v>171</v>
      </c>
      <c r="E32" s="5">
        <v>1592.96</v>
      </c>
      <c r="G32" s="1" t="s">
        <v>51</v>
      </c>
      <c r="H32" s="5">
        <f>H22/H29</f>
        <v>56.489583333333336</v>
      </c>
    </row>
    <row r="33" spans="1:5" ht="15.75" customHeight="1">
      <c r="A33" s="4" t="s">
        <v>20</v>
      </c>
      <c r="B33" s="5">
        <v>2710</v>
      </c>
      <c r="D33" s="4" t="s">
        <v>169</v>
      </c>
      <c r="E33" s="5">
        <v>310</v>
      </c>
    </row>
    <row r="34" spans="1:5" ht="15.75" customHeight="1">
      <c r="D34" s="4" t="s">
        <v>170</v>
      </c>
      <c r="E34" s="5">
        <v>1880.37</v>
      </c>
    </row>
    <row r="35" spans="1:5" ht="15.75" customHeight="1">
      <c r="D35" s="4"/>
      <c r="E35" s="5"/>
    </row>
    <row r="36" spans="1:5" ht="15.75" customHeight="1">
      <c r="D36" s="4" t="s">
        <v>143</v>
      </c>
      <c r="E36" s="5">
        <v>2520</v>
      </c>
    </row>
    <row r="37" spans="1:5" ht="15.75" customHeight="1">
      <c r="D37" s="4" t="s">
        <v>144</v>
      </c>
      <c r="E37" s="5"/>
    </row>
    <row r="38" spans="1:5" ht="15.75" customHeight="1">
      <c r="D38" s="28" t="s">
        <v>53</v>
      </c>
      <c r="E38" s="5"/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00"/>
  <sheetViews>
    <sheetView zoomScale="75" zoomScaleNormal="75" workbookViewId="0">
      <selection sqref="A1:N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218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9397</v>
      </c>
      <c r="D4" s="1" t="s">
        <v>3</v>
      </c>
      <c r="E4" s="2">
        <v>10361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830</v>
      </c>
      <c r="D5" s="4" t="s">
        <v>11</v>
      </c>
      <c r="E5" s="5">
        <v>700</v>
      </c>
      <c r="G5" s="3" t="s">
        <v>12</v>
      </c>
      <c r="H5" s="6">
        <f>B4</f>
        <v>9397</v>
      </c>
      <c r="I5" s="6">
        <f>B12</f>
        <v>10132</v>
      </c>
      <c r="J5" s="6">
        <f>B20</f>
        <v>7148</v>
      </c>
      <c r="K5" s="6">
        <f>E4</f>
        <v>10361</v>
      </c>
      <c r="L5" s="7">
        <f>B28</f>
        <v>6770</v>
      </c>
      <c r="M5" s="7">
        <f>E12</f>
        <v>7425</v>
      </c>
      <c r="N5" s="7">
        <f>E20</f>
        <v>9865</v>
      </c>
    </row>
    <row r="6" spans="1:14">
      <c r="A6" s="4" t="s">
        <v>13</v>
      </c>
      <c r="B6" s="5">
        <v>739</v>
      </c>
      <c r="D6" s="4" t="s">
        <v>13</v>
      </c>
      <c r="E6" s="5">
        <v>800</v>
      </c>
      <c r="G6" s="3" t="s">
        <v>14</v>
      </c>
      <c r="H6" s="64">
        <f>H8*0.4</f>
        <v>24439.200000000001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235</v>
      </c>
      <c r="D7" s="4" t="s">
        <v>15</v>
      </c>
      <c r="E7" s="5">
        <v>266</v>
      </c>
      <c r="G7" s="3" t="s">
        <v>16</v>
      </c>
      <c r="H7" s="64">
        <f>H8*0.6</f>
        <v>36658.799999999996</v>
      </c>
      <c r="I7" s="63"/>
      <c r="J7" s="63"/>
      <c r="K7" s="63"/>
      <c r="L7" s="63"/>
      <c r="M7" s="63"/>
      <c r="N7" s="61"/>
    </row>
    <row r="8" spans="1:14">
      <c r="A8" s="4" t="s">
        <v>17</v>
      </c>
      <c r="B8" s="5">
        <v>187</v>
      </c>
      <c r="D8" s="4" t="s">
        <v>18</v>
      </c>
      <c r="E8" s="5">
        <v>207</v>
      </c>
      <c r="G8" s="3" t="s">
        <v>19</v>
      </c>
      <c r="H8" s="65">
        <f>SUM(H5:N5)</f>
        <v>61098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5177</v>
      </c>
      <c r="D9" s="4" t="s">
        <v>20</v>
      </c>
      <c r="E9" s="5">
        <v>2518</v>
      </c>
      <c r="G9" s="3" t="s">
        <v>21</v>
      </c>
      <c r="H9" s="4">
        <v>133</v>
      </c>
      <c r="I9" s="4">
        <v>95</v>
      </c>
      <c r="J9" s="4">
        <v>71</v>
      </c>
      <c r="K9" s="4">
        <v>86</v>
      </c>
      <c r="L9" s="4">
        <v>104</v>
      </c>
      <c r="M9" s="4">
        <v>87</v>
      </c>
      <c r="N9" s="4">
        <v>90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10132</v>
      </c>
      <c r="D12" s="1" t="s">
        <v>3</v>
      </c>
      <c r="E12" s="2">
        <v>7425</v>
      </c>
      <c r="G12" s="1" t="s">
        <v>26</v>
      </c>
      <c r="H12" s="64">
        <f>E5+B5+B13+B21+E13+E21+B29</f>
        <v>3650</v>
      </c>
      <c r="I12" s="63"/>
      <c r="J12" s="63"/>
      <c r="K12" s="63"/>
      <c r="L12" s="10">
        <f>H12/H18</f>
        <v>8.7858465548288578E-2</v>
      </c>
    </row>
    <row r="13" spans="1:14">
      <c r="A13" s="4" t="s">
        <v>11</v>
      </c>
      <c r="B13" s="5">
        <v>380</v>
      </c>
      <c r="D13" s="4" t="s">
        <v>11</v>
      </c>
      <c r="E13" s="5">
        <v>570</v>
      </c>
      <c r="G13" s="1" t="s">
        <v>27</v>
      </c>
      <c r="H13" s="64">
        <f t="shared" ref="H13:H16" si="0">E6+B6+B14+B22+B30+E14+E22</f>
        <v>5445</v>
      </c>
      <c r="I13" s="63"/>
      <c r="J13" s="63"/>
      <c r="K13" s="63"/>
      <c r="L13" s="10">
        <f>H13/H18</f>
        <v>0.13106557394806337</v>
      </c>
    </row>
    <row r="14" spans="1:14">
      <c r="A14" s="4" t="s">
        <v>13</v>
      </c>
      <c r="B14" s="5">
        <v>1427</v>
      </c>
      <c r="D14" s="4" t="s">
        <v>13</v>
      </c>
      <c r="E14" s="5">
        <v>200</v>
      </c>
      <c r="G14" s="1" t="s">
        <v>28</v>
      </c>
      <c r="H14" s="64">
        <f t="shared" si="0"/>
        <v>1560</v>
      </c>
      <c r="I14" s="63"/>
      <c r="J14" s="63"/>
      <c r="K14" s="63"/>
      <c r="L14" s="10">
        <f>H14/H18</f>
        <v>3.7550467467213751E-2</v>
      </c>
    </row>
    <row r="15" spans="1:14">
      <c r="A15" s="4" t="s">
        <v>15</v>
      </c>
      <c r="B15" s="5">
        <v>249</v>
      </c>
      <c r="D15" s="4" t="s">
        <v>15</v>
      </c>
      <c r="E15" s="5">
        <v>200</v>
      </c>
      <c r="G15" s="1" t="s">
        <v>59</v>
      </c>
      <c r="H15" s="64">
        <f t="shared" si="0"/>
        <v>1023</v>
      </c>
      <c r="I15" s="63"/>
      <c r="J15" s="63"/>
      <c r="K15" s="63"/>
      <c r="L15" s="10">
        <f>H15/H18</f>
        <v>2.4624441165999787E-2</v>
      </c>
    </row>
    <row r="16" spans="1:14">
      <c r="A16" s="4" t="s">
        <v>18</v>
      </c>
      <c r="B16" s="5">
        <v>202</v>
      </c>
      <c r="D16" s="4" t="s">
        <v>18</v>
      </c>
      <c r="E16" s="5">
        <v>149</v>
      </c>
      <c r="G16" s="1" t="s">
        <v>30</v>
      </c>
      <c r="H16" s="64">
        <f t="shared" si="0"/>
        <v>23049.5</v>
      </c>
      <c r="I16" s="63"/>
      <c r="J16" s="63"/>
      <c r="K16" s="63"/>
      <c r="L16" s="10">
        <f t="shared" ref="L16:L17" si="1">H16/H22</f>
        <v>0.55482019223432266</v>
      </c>
    </row>
    <row r="17" spans="1:12">
      <c r="A17" s="4" t="s">
        <v>20</v>
      </c>
      <c r="B17" s="5">
        <v>2976.5</v>
      </c>
      <c r="D17" s="4" t="s">
        <v>20</v>
      </c>
      <c r="E17" s="5">
        <v>2747</v>
      </c>
      <c r="G17" s="11" t="s">
        <v>31</v>
      </c>
      <c r="H17" s="66">
        <f>E39</f>
        <v>6816.59</v>
      </c>
      <c r="I17" s="63"/>
      <c r="J17" s="63"/>
      <c r="K17" s="67"/>
      <c r="L17" s="10">
        <f t="shared" si="1"/>
        <v>0.34860495931504232</v>
      </c>
    </row>
    <row r="18" spans="1:12">
      <c r="G18" s="12" t="s">
        <v>32</v>
      </c>
      <c r="H18" s="68">
        <f>H17+H16+H15+H14+H13+H12</f>
        <v>41544.089999999997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7148</v>
      </c>
      <c r="D20" s="1" t="s">
        <v>3</v>
      </c>
      <c r="E20" s="2">
        <v>9865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540</v>
      </c>
      <c r="D21" s="4" t="s">
        <v>11</v>
      </c>
      <c r="E21" s="5">
        <v>90</v>
      </c>
      <c r="G21" s="13" t="s">
        <v>36</v>
      </c>
      <c r="H21" s="14">
        <f>H8</f>
        <v>61098</v>
      </c>
      <c r="I21" s="15"/>
    </row>
    <row r="22" spans="1:12" ht="15.75" customHeight="1">
      <c r="A22" s="4" t="s">
        <v>13</v>
      </c>
      <c r="B22" s="5">
        <v>1574</v>
      </c>
      <c r="D22" s="4" t="s">
        <v>13</v>
      </c>
      <c r="E22" s="5">
        <v>305</v>
      </c>
      <c r="G22" s="12" t="s">
        <v>37</v>
      </c>
      <c r="H22" s="16">
        <f>H18</f>
        <v>41544.089999999997</v>
      </c>
      <c r="I22" s="15"/>
    </row>
    <row r="23" spans="1:12" ht="15.75" customHeight="1">
      <c r="A23" s="4" t="s">
        <v>15</v>
      </c>
      <c r="B23" s="5">
        <v>151</v>
      </c>
      <c r="D23" s="4" t="s">
        <v>15</v>
      </c>
      <c r="E23" s="5">
        <v>284</v>
      </c>
      <c r="G23" s="17" t="s">
        <v>38</v>
      </c>
      <c r="H23" s="18">
        <f>H21-H22</f>
        <v>19553.910000000003</v>
      </c>
      <c r="I23" s="15"/>
    </row>
    <row r="24" spans="1:12" ht="15.75" customHeight="1">
      <c r="A24" s="4" t="s">
        <v>54</v>
      </c>
      <c r="B24" s="5">
        <v>143</v>
      </c>
      <c r="D24" s="4"/>
      <c r="E24" s="5"/>
      <c r="G24" s="19" t="s">
        <v>40</v>
      </c>
      <c r="H24" s="20">
        <f>H23*0.4</f>
        <v>7821.5640000000021</v>
      </c>
      <c r="I24" s="15"/>
    </row>
    <row r="25" spans="1:12" ht="15.75" customHeight="1">
      <c r="A25" s="4" t="s">
        <v>20</v>
      </c>
      <c r="B25" s="5">
        <v>1754</v>
      </c>
      <c r="D25" s="4" t="s">
        <v>20</v>
      </c>
      <c r="E25" s="5">
        <v>4396</v>
      </c>
      <c r="G25" s="1" t="s">
        <v>41</v>
      </c>
      <c r="H25" s="8">
        <f>H23*0.6</f>
        <v>11732.346000000001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6770</v>
      </c>
      <c r="D28" s="23" t="s">
        <v>45</v>
      </c>
      <c r="E28" s="6" t="s">
        <v>46</v>
      </c>
      <c r="G28" s="24" t="s">
        <v>47</v>
      </c>
      <c r="H28" s="25">
        <f>H23/H21</f>
        <v>0.32004173622704513</v>
      </c>
    </row>
    <row r="29" spans="1:12" ht="15.75" customHeight="1">
      <c r="A29" s="4" t="s">
        <v>11</v>
      </c>
      <c r="B29" s="5">
        <v>540</v>
      </c>
      <c r="D29" s="4" t="s">
        <v>68</v>
      </c>
      <c r="E29" s="5"/>
      <c r="G29" s="1" t="s">
        <v>48</v>
      </c>
      <c r="H29" s="26">
        <f>SUM(H9:N9)</f>
        <v>666</v>
      </c>
    </row>
    <row r="30" spans="1:12" ht="15.75" customHeight="1">
      <c r="A30" s="4" t="s">
        <v>13</v>
      </c>
      <c r="B30" s="5">
        <v>400</v>
      </c>
      <c r="D30" s="4" t="s">
        <v>195</v>
      </c>
      <c r="E30" s="5">
        <v>2587</v>
      </c>
      <c r="G30" s="1" t="s">
        <v>49</v>
      </c>
      <c r="H30" s="5">
        <f>H21/H29</f>
        <v>91.738738738738732</v>
      </c>
    </row>
    <row r="31" spans="1:12" ht="15.75" customHeight="1">
      <c r="A31" s="4" t="s">
        <v>15</v>
      </c>
      <c r="B31" s="5">
        <v>175</v>
      </c>
      <c r="D31" s="4" t="s">
        <v>69</v>
      </c>
      <c r="E31" s="5"/>
      <c r="G31" s="1" t="s">
        <v>50</v>
      </c>
      <c r="H31" s="5">
        <f>H23/H29</f>
        <v>29.360225225225232</v>
      </c>
    </row>
    <row r="32" spans="1:12" ht="15.75" customHeight="1">
      <c r="A32" s="4" t="s">
        <v>18</v>
      </c>
      <c r="B32" s="5">
        <v>135</v>
      </c>
      <c r="D32" s="4" t="s">
        <v>174</v>
      </c>
      <c r="E32" s="5">
        <v>1099.22</v>
      </c>
      <c r="G32" s="1" t="s">
        <v>51</v>
      </c>
      <c r="H32" s="5">
        <f>H22/H29</f>
        <v>62.378513513513511</v>
      </c>
    </row>
    <row r="33" spans="1:5" ht="15.75" customHeight="1">
      <c r="A33" s="4" t="s">
        <v>20</v>
      </c>
      <c r="B33" s="5">
        <v>3481</v>
      </c>
      <c r="D33" s="4" t="s">
        <v>173</v>
      </c>
      <c r="E33" s="5">
        <v>310</v>
      </c>
    </row>
    <row r="34" spans="1:5" ht="15.75" customHeight="1">
      <c r="D34" s="4" t="s">
        <v>172</v>
      </c>
      <c r="E34" s="5">
        <v>1880.37</v>
      </c>
    </row>
    <row r="35" spans="1:5" ht="15.75" customHeight="1">
      <c r="D35" s="4" t="s">
        <v>201</v>
      </c>
      <c r="E35" s="5">
        <v>940</v>
      </c>
    </row>
    <row r="36" spans="1:5" ht="15.75" customHeight="1">
      <c r="D36" s="4" t="s">
        <v>70</v>
      </c>
      <c r="E36" s="5"/>
    </row>
    <row r="37" spans="1:5" ht="15.75" customHeight="1">
      <c r="D37" s="4"/>
      <c r="E37" s="5"/>
    </row>
    <row r="38" spans="1:5" ht="15.75" customHeight="1">
      <c r="D38" s="4"/>
      <c r="E38" s="5"/>
    </row>
    <row r="39" spans="1:5" ht="15.75" customHeight="1">
      <c r="D39" s="28" t="s">
        <v>53</v>
      </c>
      <c r="E39" s="5">
        <f>SUM(E29:E38)</f>
        <v>6816.59</v>
      </c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000"/>
  <sheetViews>
    <sheetView zoomScale="75" zoomScaleNormal="75" workbookViewId="0">
      <selection sqref="A1:N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217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9563</v>
      </c>
      <c r="D4" s="1" t="s">
        <v>3</v>
      </c>
      <c r="E4" s="2">
        <v>6110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660</v>
      </c>
      <c r="D5" s="4" t="s">
        <v>11</v>
      </c>
      <c r="E5" s="5">
        <v>480</v>
      </c>
      <c r="G5" s="3" t="s">
        <v>12</v>
      </c>
      <c r="H5" s="6">
        <f>B4</f>
        <v>9563</v>
      </c>
      <c r="I5" s="6">
        <f>B12</f>
        <v>16145</v>
      </c>
      <c r="J5" s="6">
        <f>B20</f>
        <v>7565</v>
      </c>
      <c r="K5" s="6">
        <f>E4</f>
        <v>6110</v>
      </c>
      <c r="L5" s="7">
        <f>B28</f>
        <v>6577</v>
      </c>
      <c r="M5" s="7">
        <f>E12</f>
        <v>9085</v>
      </c>
      <c r="N5" s="7">
        <f>E20</f>
        <v>10238</v>
      </c>
    </row>
    <row r="6" spans="1:14">
      <c r="A6" s="4" t="s">
        <v>13</v>
      </c>
      <c r="B6" s="5">
        <v>789</v>
      </c>
      <c r="D6" s="4" t="s">
        <v>13</v>
      </c>
      <c r="E6" s="5">
        <v>570</v>
      </c>
      <c r="G6" s="3" t="s">
        <v>14</v>
      </c>
      <c r="H6" s="64">
        <f>H8*0.4</f>
        <v>26113.200000000001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244</v>
      </c>
      <c r="D7" s="4" t="s">
        <v>15</v>
      </c>
      <c r="E7" s="5">
        <v>152</v>
      </c>
      <c r="G7" s="3" t="s">
        <v>16</v>
      </c>
      <c r="H7" s="64">
        <f>H8*0.6</f>
        <v>39169.799999999996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192</v>
      </c>
      <c r="D8" s="4" t="s">
        <v>18</v>
      </c>
      <c r="E8" s="5">
        <v>122</v>
      </c>
      <c r="G8" s="3" t="s">
        <v>19</v>
      </c>
      <c r="H8" s="65">
        <f>SUM(H5:N5)</f>
        <v>65283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4752</v>
      </c>
      <c r="D9" s="4" t="s">
        <v>20</v>
      </c>
      <c r="E9" s="5">
        <v>2465</v>
      </c>
      <c r="G9" s="3" t="s">
        <v>21</v>
      </c>
      <c r="H9" s="4">
        <v>134</v>
      </c>
      <c r="I9" s="4">
        <v>99</v>
      </c>
      <c r="J9" s="4">
        <v>73</v>
      </c>
      <c r="K9" s="4">
        <v>85</v>
      </c>
      <c r="L9" s="4">
        <v>103</v>
      </c>
      <c r="M9" s="4">
        <v>87</v>
      </c>
      <c r="N9" s="4">
        <v>88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16145</v>
      </c>
      <c r="D12" s="1" t="s">
        <v>3</v>
      </c>
      <c r="E12" s="2">
        <v>9085</v>
      </c>
      <c r="G12" s="1" t="s">
        <v>26</v>
      </c>
      <c r="H12" s="64">
        <f>E5+B5+B13+B21+E13+E21+B29</f>
        <v>4370</v>
      </c>
      <c r="I12" s="63"/>
      <c r="J12" s="63"/>
      <c r="K12" s="63"/>
      <c r="L12" s="10">
        <f>H12/H18</f>
        <v>7.2999260652797132E-2</v>
      </c>
    </row>
    <row r="13" spans="1:14">
      <c r="A13" s="4" t="s">
        <v>11</v>
      </c>
      <c r="B13" s="5">
        <v>1160</v>
      </c>
      <c r="D13" s="4" t="s">
        <v>11</v>
      </c>
      <c r="E13" s="5">
        <v>670</v>
      </c>
      <c r="G13" s="1" t="s">
        <v>27</v>
      </c>
      <c r="H13" s="64">
        <f t="shared" ref="H13:H16" si="0">E6+B6+B14+B22+B30+E14+E22</f>
        <v>5750</v>
      </c>
      <c r="I13" s="63"/>
      <c r="J13" s="63"/>
      <c r="K13" s="63"/>
      <c r="L13" s="10">
        <f>H13/H18</f>
        <v>9.6051658753680449E-2</v>
      </c>
    </row>
    <row r="14" spans="1:14">
      <c r="A14" s="4" t="s">
        <v>13</v>
      </c>
      <c r="B14" s="5">
        <v>1112</v>
      </c>
      <c r="D14" s="4" t="s">
        <v>13</v>
      </c>
      <c r="E14" s="5">
        <v>1052</v>
      </c>
      <c r="G14" s="1" t="s">
        <v>28</v>
      </c>
      <c r="H14" s="64">
        <f t="shared" si="0"/>
        <v>1656</v>
      </c>
      <c r="I14" s="63"/>
      <c r="J14" s="63"/>
      <c r="K14" s="63"/>
      <c r="L14" s="10">
        <f>H14/H18</f>
        <v>2.7662877721059968E-2</v>
      </c>
    </row>
    <row r="15" spans="1:14">
      <c r="A15" s="4" t="s">
        <v>15</v>
      </c>
      <c r="B15" s="5">
        <v>416</v>
      </c>
      <c r="D15" s="4" t="s">
        <v>15</v>
      </c>
      <c r="E15" s="5">
        <v>221</v>
      </c>
      <c r="G15" s="1" t="s">
        <v>59</v>
      </c>
      <c r="H15" s="64">
        <f t="shared" si="0"/>
        <v>1100</v>
      </c>
      <c r="I15" s="63"/>
      <c r="J15" s="63"/>
      <c r="K15" s="63"/>
      <c r="L15" s="10">
        <f>H15/H18</f>
        <v>1.8375099935486694E-2</v>
      </c>
    </row>
    <row r="16" spans="1:14">
      <c r="A16" s="4" t="s">
        <v>18</v>
      </c>
      <c r="B16" s="5">
        <v>323</v>
      </c>
      <c r="D16" s="4" t="s">
        <v>18</v>
      </c>
      <c r="E16" s="5">
        <v>182</v>
      </c>
      <c r="G16" s="1" t="s">
        <v>30</v>
      </c>
      <c r="H16" s="64">
        <f t="shared" si="0"/>
        <v>28019</v>
      </c>
      <c r="I16" s="63"/>
      <c r="J16" s="63"/>
      <c r="K16" s="63"/>
      <c r="L16" s="10">
        <f t="shared" ref="L16:L17" si="1">H16/H22</f>
        <v>0.46804720462945609</v>
      </c>
    </row>
    <row r="17" spans="1:12">
      <c r="A17" s="4" t="s">
        <v>20</v>
      </c>
      <c r="B17" s="5">
        <v>7382</v>
      </c>
      <c r="D17" s="4" t="s">
        <v>20</v>
      </c>
      <c r="E17" s="5">
        <v>2997</v>
      </c>
      <c r="G17" s="11" t="s">
        <v>31</v>
      </c>
      <c r="H17" s="66">
        <f>E40</f>
        <v>18968.620000000003</v>
      </c>
      <c r="I17" s="63"/>
      <c r="J17" s="63"/>
      <c r="K17" s="67"/>
      <c r="L17" s="10">
        <f t="shared" si="1"/>
        <v>3.5001457731327221</v>
      </c>
    </row>
    <row r="18" spans="1:12">
      <c r="G18" s="12" t="s">
        <v>32</v>
      </c>
      <c r="H18" s="68">
        <f>H17+H16+H15+H14+H13+H12</f>
        <v>59863.62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7565</v>
      </c>
      <c r="D20" s="1" t="s">
        <v>3</v>
      </c>
      <c r="E20" s="2">
        <v>10238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660</v>
      </c>
      <c r="D21" s="4" t="s">
        <v>11</v>
      </c>
      <c r="E21" s="5">
        <v>120</v>
      </c>
      <c r="G21" s="13" t="s">
        <v>36</v>
      </c>
      <c r="H21" s="14">
        <f>H8</f>
        <v>65283</v>
      </c>
      <c r="I21" s="15"/>
    </row>
    <row r="22" spans="1:12" ht="15.75" customHeight="1">
      <c r="A22" s="4" t="s">
        <v>13</v>
      </c>
      <c r="B22" s="5">
        <v>750</v>
      </c>
      <c r="D22" s="4" t="s">
        <v>13</v>
      </c>
      <c r="E22" s="5">
        <v>687</v>
      </c>
      <c r="G22" s="12" t="s">
        <v>37</v>
      </c>
      <c r="H22" s="16">
        <f>H18</f>
        <v>59863.62</v>
      </c>
      <c r="I22" s="15"/>
    </row>
    <row r="23" spans="1:12" ht="15.75" customHeight="1">
      <c r="A23" s="4" t="s">
        <v>15</v>
      </c>
      <c r="B23" s="5">
        <v>185</v>
      </c>
      <c r="D23" s="4" t="s">
        <v>15</v>
      </c>
      <c r="E23" s="5">
        <v>283</v>
      </c>
      <c r="G23" s="17" t="s">
        <v>38</v>
      </c>
      <c r="H23" s="18">
        <f>H21-H22</f>
        <v>5419.3799999999974</v>
      </c>
      <c r="I23" s="15"/>
    </row>
    <row r="24" spans="1:12" ht="15.75" customHeight="1">
      <c r="A24" s="4" t="s">
        <v>18</v>
      </c>
      <c r="B24" s="5">
        <v>150</v>
      </c>
      <c r="D24" s="4" t="s">
        <v>18</v>
      </c>
      <c r="E24" s="5"/>
      <c r="G24" s="19" t="s">
        <v>40</v>
      </c>
      <c r="H24" s="20">
        <f>H23*0.4</f>
        <v>2167.751999999999</v>
      </c>
      <c r="I24" s="15"/>
    </row>
    <row r="25" spans="1:12" ht="15.75" customHeight="1">
      <c r="A25" s="4" t="s">
        <v>20</v>
      </c>
      <c r="B25" s="5">
        <v>3480</v>
      </c>
      <c r="D25" s="4" t="s">
        <v>20</v>
      </c>
      <c r="E25" s="5">
        <v>3191</v>
      </c>
      <c r="G25" s="1" t="s">
        <v>41</v>
      </c>
      <c r="H25" s="8">
        <f>H23*0.6</f>
        <v>3251.6279999999983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6577</v>
      </c>
      <c r="D28" s="23" t="s">
        <v>45</v>
      </c>
      <c r="E28" s="6" t="s">
        <v>46</v>
      </c>
      <c r="G28" s="24" t="s">
        <v>47</v>
      </c>
      <c r="H28" s="25">
        <f>H23/H21</f>
        <v>8.3013648269840506E-2</v>
      </c>
    </row>
    <row r="29" spans="1:12" ht="15.75" customHeight="1">
      <c r="A29" s="4" t="s">
        <v>11</v>
      </c>
      <c r="B29" s="5">
        <v>620</v>
      </c>
      <c r="D29" s="4" t="s">
        <v>202</v>
      </c>
      <c r="E29" s="5">
        <v>2624</v>
      </c>
      <c r="G29" s="1" t="s">
        <v>48</v>
      </c>
      <c r="H29" s="26">
        <f>SUM(H9:N9)</f>
        <v>669</v>
      </c>
    </row>
    <row r="30" spans="1:12" ht="15.75" customHeight="1">
      <c r="A30" s="4" t="s">
        <v>13</v>
      </c>
      <c r="B30" s="5">
        <v>790</v>
      </c>
      <c r="D30" s="4" t="s">
        <v>196</v>
      </c>
      <c r="E30" s="5">
        <v>2580</v>
      </c>
      <c r="G30" s="1" t="s">
        <v>49</v>
      </c>
      <c r="H30" s="5">
        <f>H21/H29</f>
        <v>97.582959641255599</v>
      </c>
    </row>
    <row r="31" spans="1:12" ht="15.75" customHeight="1">
      <c r="A31" s="4" t="s">
        <v>15</v>
      </c>
      <c r="B31" s="5">
        <v>155</v>
      </c>
      <c r="D31" s="4" t="s">
        <v>189</v>
      </c>
      <c r="E31" s="5">
        <v>1260</v>
      </c>
      <c r="G31" s="1" t="s">
        <v>50</v>
      </c>
      <c r="H31" s="5">
        <f>H23/H29</f>
        <v>8.1007174887892344</v>
      </c>
    </row>
    <row r="32" spans="1:12" ht="15.75" customHeight="1">
      <c r="A32" s="4" t="s">
        <v>18</v>
      </c>
      <c r="B32" s="5">
        <v>131</v>
      </c>
      <c r="D32" s="4" t="s">
        <v>175</v>
      </c>
      <c r="E32" s="5">
        <v>1141.26</v>
      </c>
      <c r="G32" s="1" t="s">
        <v>51</v>
      </c>
      <c r="H32" s="27">
        <f>H22/H29</f>
        <v>89.48224215246637</v>
      </c>
    </row>
    <row r="33" spans="1:5" ht="15.75" customHeight="1">
      <c r="A33" s="4" t="s">
        <v>20</v>
      </c>
      <c r="B33" s="5">
        <v>3752</v>
      </c>
      <c r="D33" s="4" t="s">
        <v>176</v>
      </c>
      <c r="E33" s="5">
        <v>310</v>
      </c>
    </row>
    <row r="34" spans="1:5" ht="15.75" customHeight="1">
      <c r="D34" s="4" t="s">
        <v>177</v>
      </c>
      <c r="E34" s="5">
        <v>1784.36</v>
      </c>
    </row>
    <row r="35" spans="1:5" ht="15.75" customHeight="1">
      <c r="D35" s="4" t="s">
        <v>145</v>
      </c>
      <c r="E35" s="5">
        <v>7869</v>
      </c>
    </row>
    <row r="36" spans="1:5" ht="15.75" customHeight="1">
      <c r="D36" s="4" t="s">
        <v>146</v>
      </c>
      <c r="E36" s="5">
        <v>1200</v>
      </c>
    </row>
    <row r="37" spans="1:5" ht="15.75" customHeight="1">
      <c r="D37" s="4" t="s">
        <v>18</v>
      </c>
      <c r="E37" s="5">
        <v>200</v>
      </c>
    </row>
    <row r="38" spans="1:5" ht="15.75" customHeight="1">
      <c r="D38" s="4"/>
      <c r="E38" s="5"/>
    </row>
    <row r="39" spans="1:5" ht="15.75" customHeight="1">
      <c r="D39" s="4"/>
      <c r="E39" s="5"/>
    </row>
    <row r="40" spans="1:5" ht="15.75" customHeight="1">
      <c r="D40" s="28" t="s">
        <v>53</v>
      </c>
      <c r="E40" s="5">
        <f>SUM(E29:E39)</f>
        <v>18968.620000000003</v>
      </c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00"/>
  <sheetViews>
    <sheetView zoomScale="75" zoomScaleNormal="75" workbookViewId="0">
      <selection sqref="A1:N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216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8054</v>
      </c>
      <c r="D4" s="1" t="s">
        <v>3</v>
      </c>
      <c r="E4" s="2">
        <v>6110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760</v>
      </c>
      <c r="D5" s="4" t="s">
        <v>11</v>
      </c>
      <c r="E5" s="5">
        <v>580</v>
      </c>
      <c r="G5" s="3" t="s">
        <v>12</v>
      </c>
      <c r="H5" s="6">
        <f>B4</f>
        <v>8054</v>
      </c>
      <c r="I5" s="6">
        <f>B12</f>
        <v>13361</v>
      </c>
      <c r="J5" s="6">
        <f>B20</f>
        <v>5230</v>
      </c>
      <c r="K5" s="6">
        <f>E4</f>
        <v>6110</v>
      </c>
      <c r="L5" s="7">
        <f>B28</f>
        <v>4770</v>
      </c>
      <c r="M5" s="7">
        <f>E12</f>
        <v>8952</v>
      </c>
      <c r="N5" s="7">
        <f>E20</f>
        <v>11124</v>
      </c>
    </row>
    <row r="6" spans="1:14">
      <c r="A6" s="4" t="s">
        <v>13</v>
      </c>
      <c r="B6" s="5">
        <v>589</v>
      </c>
      <c r="D6" s="4" t="s">
        <v>13</v>
      </c>
      <c r="E6" s="5">
        <v>957</v>
      </c>
      <c r="G6" s="3" t="s">
        <v>14</v>
      </c>
      <c r="H6" s="64">
        <f>H8*0.4</f>
        <v>23040.400000000001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201</v>
      </c>
      <c r="D7" s="4" t="s">
        <v>15</v>
      </c>
      <c r="E7" s="5">
        <v>138</v>
      </c>
      <c r="G7" s="3" t="s">
        <v>16</v>
      </c>
      <c r="H7" s="64">
        <f>H8*0.6</f>
        <v>34560.6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161</v>
      </c>
      <c r="D8" s="4" t="s">
        <v>18</v>
      </c>
      <c r="E8" s="5">
        <v>122</v>
      </c>
      <c r="G8" s="3" t="s">
        <v>19</v>
      </c>
      <c r="H8" s="65">
        <f>SUM(H5:N5)</f>
        <v>57601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3570</v>
      </c>
      <c r="D9" s="4" t="s">
        <v>20</v>
      </c>
      <c r="E9" s="5">
        <v>2014</v>
      </c>
      <c r="G9" s="3" t="s">
        <v>21</v>
      </c>
      <c r="H9" s="4">
        <v>134</v>
      </c>
      <c r="I9" s="4">
        <v>100</v>
      </c>
      <c r="J9" s="4">
        <v>75</v>
      </c>
      <c r="K9" s="4">
        <v>85</v>
      </c>
      <c r="L9" s="4">
        <v>103</v>
      </c>
      <c r="M9" s="4">
        <v>86</v>
      </c>
      <c r="N9" s="4">
        <v>87</v>
      </c>
    </row>
    <row r="11" spans="1:14" ht="18.75">
      <c r="A11" s="60" t="s">
        <v>22</v>
      </c>
      <c r="B11" s="61"/>
      <c r="D11" s="60" t="s">
        <v>71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13361</v>
      </c>
      <c r="D12" s="1" t="s">
        <v>3</v>
      </c>
      <c r="E12" s="2">
        <v>8952</v>
      </c>
      <c r="G12" s="1" t="s">
        <v>26</v>
      </c>
      <c r="H12" s="64">
        <f>E5+B5+B13+B21+E13+E21+B29</f>
        <v>4220</v>
      </c>
      <c r="I12" s="63"/>
      <c r="J12" s="63"/>
      <c r="K12" s="63"/>
      <c r="L12" s="10">
        <f>H12/H18</f>
        <v>0.11278841561408615</v>
      </c>
    </row>
    <row r="13" spans="1:14">
      <c r="A13" s="4" t="s">
        <v>11</v>
      </c>
      <c r="B13" s="5">
        <v>940</v>
      </c>
      <c r="D13" s="4" t="s">
        <v>11</v>
      </c>
      <c r="E13" s="5">
        <v>620</v>
      </c>
      <c r="G13" s="1" t="s">
        <v>27</v>
      </c>
      <c r="H13" s="64">
        <f t="shared" ref="H13:H16" si="0">E6+B6+B14+B22+B30+E14+E22</f>
        <v>5499</v>
      </c>
      <c r="I13" s="63"/>
      <c r="J13" s="63"/>
      <c r="K13" s="63"/>
      <c r="L13" s="10">
        <f>H13/H18</f>
        <v>0.14697239276347387</v>
      </c>
    </row>
    <row r="14" spans="1:14">
      <c r="A14" s="4" t="s">
        <v>13</v>
      </c>
      <c r="B14" s="5">
        <v>1427</v>
      </c>
      <c r="D14" s="4" t="s">
        <v>13</v>
      </c>
      <c r="E14" s="5">
        <v>602</v>
      </c>
      <c r="G14" s="1" t="s">
        <v>28</v>
      </c>
      <c r="H14" s="64">
        <f t="shared" si="0"/>
        <v>1437</v>
      </c>
      <c r="I14" s="63"/>
      <c r="J14" s="63"/>
      <c r="K14" s="63"/>
      <c r="L14" s="10">
        <f>H14/H18</f>
        <v>3.8406860956739758E-2</v>
      </c>
    </row>
    <row r="15" spans="1:14">
      <c r="A15" s="4" t="s">
        <v>15</v>
      </c>
      <c r="B15" s="5">
        <v>330</v>
      </c>
      <c r="D15" s="4" t="s">
        <v>15</v>
      </c>
      <c r="E15" s="5">
        <v>232</v>
      </c>
      <c r="G15" s="1" t="s">
        <v>59</v>
      </c>
      <c r="H15" s="64">
        <f t="shared" si="0"/>
        <v>923</v>
      </c>
      <c r="I15" s="63"/>
      <c r="J15" s="63"/>
      <c r="K15" s="63"/>
      <c r="L15" s="10">
        <f>H15/H18</f>
        <v>2.4669125026493249E-2</v>
      </c>
    </row>
    <row r="16" spans="1:14">
      <c r="A16" s="4" t="s">
        <v>18</v>
      </c>
      <c r="B16" s="5">
        <v>261</v>
      </c>
      <c r="D16" s="4" t="s">
        <v>18</v>
      </c>
      <c r="E16" s="5">
        <v>179</v>
      </c>
      <c r="G16" s="1" t="s">
        <v>30</v>
      </c>
      <c r="H16" s="64">
        <f t="shared" si="0"/>
        <v>19735</v>
      </c>
      <c r="I16" s="63"/>
      <c r="J16" s="63"/>
      <c r="K16" s="63"/>
      <c r="L16" s="10">
        <f t="shared" ref="L16:L17" si="1">H16/H22</f>
        <v>0.52745956922843362</v>
      </c>
    </row>
    <row r="17" spans="1:12">
      <c r="A17" s="4" t="s">
        <v>20</v>
      </c>
      <c r="B17" s="5">
        <v>7062</v>
      </c>
      <c r="D17" s="4" t="s">
        <v>20</v>
      </c>
      <c r="E17" s="5">
        <v>1597</v>
      </c>
      <c r="G17" s="11" t="s">
        <v>31</v>
      </c>
      <c r="H17" s="66">
        <f>E39</f>
        <v>5601.1900000000005</v>
      </c>
      <c r="I17" s="63"/>
      <c r="J17" s="63"/>
      <c r="K17" s="67"/>
      <c r="L17" s="10">
        <f t="shared" si="1"/>
        <v>0.27748155758921744</v>
      </c>
    </row>
    <row r="18" spans="1:12">
      <c r="G18" s="12" t="s">
        <v>32</v>
      </c>
      <c r="H18" s="68">
        <f>H17+H16+H15+H14+H13+H12</f>
        <v>37415.19</v>
      </c>
      <c r="I18" s="63"/>
      <c r="J18" s="63"/>
      <c r="K18" s="67"/>
      <c r="L18" s="4"/>
    </row>
    <row r="19" spans="1:12" ht="18.75">
      <c r="A19" s="60" t="s">
        <v>72</v>
      </c>
      <c r="B19" s="61"/>
      <c r="D19" s="60" t="s">
        <v>34</v>
      </c>
      <c r="E19" s="61"/>
    </row>
    <row r="20" spans="1:12" ht="15.75">
      <c r="A20" s="1" t="s">
        <v>3</v>
      </c>
      <c r="B20" s="2">
        <v>5230</v>
      </c>
      <c r="D20" s="1" t="s">
        <v>3</v>
      </c>
      <c r="E20" s="2">
        <v>11124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620</v>
      </c>
      <c r="D21" s="4" t="s">
        <v>11</v>
      </c>
      <c r="E21" s="5">
        <v>120</v>
      </c>
      <c r="G21" s="13" t="s">
        <v>36</v>
      </c>
      <c r="H21" s="14">
        <f>H8</f>
        <v>57601</v>
      </c>
      <c r="I21" s="15"/>
    </row>
    <row r="22" spans="1:12" ht="15.75" customHeight="1">
      <c r="A22" s="4" t="s">
        <v>13</v>
      </c>
      <c r="B22" s="5">
        <v>563</v>
      </c>
      <c r="D22" s="4" t="s">
        <v>13</v>
      </c>
      <c r="E22" s="5">
        <v>711</v>
      </c>
      <c r="G22" s="12" t="s">
        <v>37</v>
      </c>
      <c r="H22" s="16">
        <f>H18</f>
        <v>37415.19</v>
      </c>
      <c r="I22" s="15"/>
    </row>
    <row r="23" spans="1:12" ht="15.75" customHeight="1">
      <c r="A23" s="4" t="s">
        <v>15</v>
      </c>
      <c r="B23" s="5">
        <v>121</v>
      </c>
      <c r="D23" s="4" t="s">
        <v>15</v>
      </c>
      <c r="E23" s="5">
        <v>309</v>
      </c>
      <c r="G23" s="17" t="s">
        <v>38</v>
      </c>
      <c r="H23" s="18">
        <f>H21-H22</f>
        <v>20185.809999999998</v>
      </c>
      <c r="I23" s="15"/>
    </row>
    <row r="24" spans="1:12" ht="15.75" customHeight="1">
      <c r="A24" s="4" t="s">
        <v>18</v>
      </c>
      <c r="B24" s="5">
        <v>105</v>
      </c>
      <c r="D24" s="4" t="s">
        <v>18</v>
      </c>
      <c r="E24" s="5"/>
      <c r="G24" s="19" t="s">
        <v>40</v>
      </c>
      <c r="H24" s="20">
        <f>H23*0.4</f>
        <v>8074.3239999999996</v>
      </c>
      <c r="I24" s="15"/>
    </row>
    <row r="25" spans="1:12" ht="15.75" customHeight="1">
      <c r="A25" s="4" t="s">
        <v>20</v>
      </c>
      <c r="B25" s="5">
        <v>1629</v>
      </c>
      <c r="D25" s="4" t="s">
        <v>20</v>
      </c>
      <c r="E25" s="5">
        <v>3188</v>
      </c>
      <c r="G25" s="1" t="s">
        <v>41</v>
      </c>
      <c r="H25" s="8">
        <f>H23*0.6</f>
        <v>12111.485999999999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4770</v>
      </c>
      <c r="D28" s="23" t="s">
        <v>45</v>
      </c>
      <c r="E28" s="6" t="s">
        <v>46</v>
      </c>
      <c r="G28" s="24" t="s">
        <v>47</v>
      </c>
      <c r="H28" s="25">
        <f>H23/H21</f>
        <v>0.35044200621516985</v>
      </c>
    </row>
    <row r="29" spans="1:12" ht="15.75" customHeight="1">
      <c r="A29" s="4" t="s">
        <v>11</v>
      </c>
      <c r="B29" s="5">
        <v>580</v>
      </c>
      <c r="D29" s="4" t="s">
        <v>211</v>
      </c>
      <c r="E29" s="5"/>
      <c r="G29" s="1" t="s">
        <v>48</v>
      </c>
      <c r="H29" s="1">
        <f>SUM(H9:N9)</f>
        <v>670</v>
      </c>
    </row>
    <row r="30" spans="1:12" ht="15.75" customHeight="1">
      <c r="A30" s="4" t="s">
        <v>13</v>
      </c>
      <c r="B30" s="5">
        <v>650</v>
      </c>
      <c r="D30" s="4" t="s">
        <v>212</v>
      </c>
      <c r="E30" s="5"/>
      <c r="G30" s="1" t="s">
        <v>49</v>
      </c>
      <c r="H30" s="1">
        <f>H21/H29</f>
        <v>85.971641791044775</v>
      </c>
    </row>
    <row r="31" spans="1:12" ht="15.75" customHeight="1">
      <c r="A31" s="4" t="s">
        <v>15</v>
      </c>
      <c r="B31" s="5">
        <v>106</v>
      </c>
      <c r="D31" s="4" t="s">
        <v>197</v>
      </c>
      <c r="E31" s="5">
        <v>1260</v>
      </c>
      <c r="G31" s="1" t="s">
        <v>50</v>
      </c>
      <c r="H31" s="1">
        <f>H23/H29</f>
        <v>30.128074626865669</v>
      </c>
    </row>
    <row r="32" spans="1:12" ht="15.75" customHeight="1">
      <c r="A32" s="4" t="s">
        <v>18</v>
      </c>
      <c r="B32" s="5">
        <v>95</v>
      </c>
      <c r="D32" s="4" t="s">
        <v>178</v>
      </c>
      <c r="E32" s="5">
        <v>1176.97</v>
      </c>
      <c r="G32" s="1" t="s">
        <v>51</v>
      </c>
      <c r="H32" s="4">
        <f>H22/H29</f>
        <v>55.843567164179106</v>
      </c>
    </row>
    <row r="33" spans="1:5" ht="15.75" customHeight="1">
      <c r="A33" s="4" t="s">
        <v>20</v>
      </c>
      <c r="B33" s="5">
        <v>675</v>
      </c>
      <c r="D33" s="4" t="s">
        <v>179</v>
      </c>
      <c r="E33" s="5">
        <v>310</v>
      </c>
    </row>
    <row r="34" spans="1:5" ht="15.75" customHeight="1">
      <c r="D34" s="4" t="s">
        <v>180</v>
      </c>
      <c r="E34" s="5">
        <v>1854.22</v>
      </c>
    </row>
    <row r="35" spans="1:5" ht="15.75" customHeight="1">
      <c r="D35" s="4" t="s">
        <v>199</v>
      </c>
      <c r="E35" s="5">
        <v>700</v>
      </c>
    </row>
    <row r="36" spans="1:5" ht="15.75" customHeight="1">
      <c r="D36" s="4"/>
      <c r="E36" s="5"/>
    </row>
    <row r="37" spans="1:5" ht="15.75" customHeight="1">
      <c r="D37" s="4"/>
      <c r="E37" s="5"/>
    </row>
    <row r="38" spans="1:5" ht="15.75" customHeight="1">
      <c r="D38" s="4" t="s">
        <v>52</v>
      </c>
      <c r="E38" s="5">
        <v>300</v>
      </c>
    </row>
    <row r="39" spans="1:5" ht="15.75" customHeight="1">
      <c r="D39" s="28" t="s">
        <v>53</v>
      </c>
      <c r="E39" s="5">
        <f>SUM(E29:E38)</f>
        <v>5601.1900000000005</v>
      </c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00"/>
  <sheetViews>
    <sheetView tabSelected="1" zoomScale="75" zoomScaleNormal="75" workbookViewId="0">
      <selection sqref="A1:N1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215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>
        <v>8102</v>
      </c>
      <c r="D4" s="1" t="s">
        <v>3</v>
      </c>
      <c r="E4" s="2">
        <v>6141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>
        <v>620</v>
      </c>
      <c r="D5" s="4" t="s">
        <v>11</v>
      </c>
      <c r="E5" s="5">
        <v>440</v>
      </c>
      <c r="G5" s="3" t="s">
        <v>12</v>
      </c>
      <c r="H5" s="6">
        <f>B4</f>
        <v>8102</v>
      </c>
      <c r="I5" s="6">
        <f>B12</f>
        <v>11824</v>
      </c>
      <c r="J5" s="6">
        <f>B20</f>
        <v>6190</v>
      </c>
      <c r="K5" s="6">
        <f>E4</f>
        <v>6141</v>
      </c>
      <c r="L5" s="7">
        <f>B28</f>
        <v>6075</v>
      </c>
      <c r="M5" s="7">
        <f>E12</f>
        <v>7550</v>
      </c>
      <c r="N5" s="7">
        <f>E20</f>
        <v>11625</v>
      </c>
    </row>
    <row r="6" spans="1:14">
      <c r="A6" s="4" t="s">
        <v>13</v>
      </c>
      <c r="B6" s="5">
        <v>624</v>
      </c>
      <c r="D6" s="4" t="s">
        <v>13</v>
      </c>
      <c r="E6" s="5">
        <v>511</v>
      </c>
      <c r="G6" s="3" t="s">
        <v>14</v>
      </c>
      <c r="H6" s="64">
        <f>H8*0.4</f>
        <v>23002.800000000003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>
        <v>206</v>
      </c>
      <c r="D7" s="4" t="s">
        <v>15</v>
      </c>
      <c r="E7" s="5">
        <v>156</v>
      </c>
      <c r="G7" s="3" t="s">
        <v>16</v>
      </c>
      <c r="H7" s="64">
        <f>H8*0.6</f>
        <v>34504.199999999997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>
        <v>162</v>
      </c>
      <c r="D8" s="4" t="s">
        <v>18</v>
      </c>
      <c r="E8" s="5">
        <v>122</v>
      </c>
      <c r="G8" s="3" t="s">
        <v>19</v>
      </c>
      <c r="H8" s="65">
        <f>SUM(H5:N5)</f>
        <v>57507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>
        <v>4358</v>
      </c>
      <c r="D9" s="4" t="s">
        <v>20</v>
      </c>
      <c r="E9" s="5">
        <v>1938</v>
      </c>
      <c r="G9" s="3" t="s">
        <v>21</v>
      </c>
      <c r="H9" s="4">
        <v>132</v>
      </c>
      <c r="I9" s="4">
        <v>100</v>
      </c>
      <c r="J9" s="4">
        <v>75</v>
      </c>
      <c r="K9" s="4">
        <v>87</v>
      </c>
      <c r="L9" s="4">
        <v>103</v>
      </c>
      <c r="M9" s="4">
        <v>86</v>
      </c>
      <c r="N9" s="4">
        <v>87</v>
      </c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>
        <v>11824</v>
      </c>
      <c r="D12" s="1" t="s">
        <v>3</v>
      </c>
      <c r="E12" s="2">
        <v>7550</v>
      </c>
      <c r="G12" s="1" t="s">
        <v>26</v>
      </c>
      <c r="H12" s="64">
        <f>E5+B5+B13+B21+E13+E21+B29</f>
        <v>3900</v>
      </c>
      <c r="I12" s="63"/>
      <c r="J12" s="63"/>
      <c r="K12" s="63"/>
      <c r="L12" s="10">
        <f>H12/H18</f>
        <v>0.10424738599679613</v>
      </c>
    </row>
    <row r="13" spans="1:14">
      <c r="A13" s="4" t="s">
        <v>11</v>
      </c>
      <c r="B13" s="5">
        <v>800</v>
      </c>
      <c r="D13" s="4" t="s">
        <v>11</v>
      </c>
      <c r="E13" s="5">
        <v>580</v>
      </c>
      <c r="G13" s="1" t="s">
        <v>27</v>
      </c>
      <c r="H13" s="64">
        <f t="shared" ref="H13:H16" si="0">E6+B6+B14+B22+B30+E14+E22</f>
        <v>4953</v>
      </c>
      <c r="I13" s="63"/>
      <c r="J13" s="63"/>
      <c r="K13" s="63"/>
      <c r="L13" s="10">
        <f>H13/H18</f>
        <v>0.13239418021593108</v>
      </c>
    </row>
    <row r="14" spans="1:14">
      <c r="A14" s="4" t="s">
        <v>13</v>
      </c>
      <c r="B14" s="5">
        <v>930</v>
      </c>
      <c r="D14" s="4" t="s">
        <v>13</v>
      </c>
      <c r="E14" s="5">
        <v>872</v>
      </c>
      <c r="G14" s="1" t="s">
        <v>28</v>
      </c>
      <c r="H14" s="64">
        <f t="shared" si="0"/>
        <v>1461</v>
      </c>
      <c r="I14" s="63"/>
      <c r="J14" s="63"/>
      <c r="K14" s="63"/>
      <c r="L14" s="10">
        <f>H14/H18</f>
        <v>3.905267460033824E-2</v>
      </c>
    </row>
    <row r="15" spans="1:14">
      <c r="A15" s="4" t="s">
        <v>15</v>
      </c>
      <c r="B15" s="5">
        <v>303</v>
      </c>
      <c r="D15" s="4" t="s">
        <v>15</v>
      </c>
      <c r="E15" s="5">
        <v>183</v>
      </c>
      <c r="G15" s="1" t="s">
        <v>55</v>
      </c>
      <c r="H15" s="64">
        <f t="shared" si="0"/>
        <v>916</v>
      </c>
      <c r="I15" s="63"/>
      <c r="J15" s="63"/>
      <c r="K15" s="63"/>
      <c r="L15" s="10">
        <f>H15/H18</f>
        <v>2.4484770659760322E-2</v>
      </c>
    </row>
    <row r="16" spans="1:14">
      <c r="A16" s="4" t="s">
        <v>18</v>
      </c>
      <c r="B16" s="5">
        <v>236</v>
      </c>
      <c r="D16" s="4" t="s">
        <v>18</v>
      </c>
      <c r="E16" s="5">
        <v>151</v>
      </c>
      <c r="G16" s="1" t="s">
        <v>30</v>
      </c>
      <c r="H16" s="64">
        <f t="shared" si="0"/>
        <v>21058</v>
      </c>
      <c r="I16" s="63"/>
      <c r="J16" s="63"/>
      <c r="K16" s="63"/>
      <c r="L16" s="10">
        <f t="shared" ref="L16:L17" si="1">H16/H22</f>
        <v>0.56288242418475198</v>
      </c>
    </row>
    <row r="17" spans="1:12">
      <c r="A17" s="4" t="s">
        <v>20</v>
      </c>
      <c r="B17" s="5">
        <v>5509</v>
      </c>
      <c r="D17" s="4" t="s">
        <v>20</v>
      </c>
      <c r="E17" s="5">
        <v>210</v>
      </c>
      <c r="G17" s="11" t="s">
        <v>31</v>
      </c>
      <c r="H17" s="66">
        <f>E39</f>
        <v>5123.01</v>
      </c>
      <c r="I17" s="63"/>
      <c r="J17" s="63"/>
      <c r="K17" s="67"/>
      <c r="L17" s="10">
        <f t="shared" si="1"/>
        <v>0.25492697796923669</v>
      </c>
    </row>
    <row r="18" spans="1:12">
      <c r="G18" s="12" t="s">
        <v>32</v>
      </c>
      <c r="H18" s="68">
        <f>H17+H16+H15+H14+H13+H12</f>
        <v>37411.01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>
        <v>6190</v>
      </c>
      <c r="D20" s="1" t="s">
        <v>3</v>
      </c>
      <c r="E20" s="2">
        <v>11625</v>
      </c>
      <c r="G20" s="69" t="s">
        <v>35</v>
      </c>
      <c r="H20" s="63"/>
      <c r="I20" s="61"/>
    </row>
    <row r="21" spans="1:12" ht="15.75" customHeight="1">
      <c r="A21" s="4" t="s">
        <v>11</v>
      </c>
      <c r="B21" s="5">
        <v>720</v>
      </c>
      <c r="D21" s="4" t="s">
        <v>11</v>
      </c>
      <c r="E21" s="5">
        <v>160</v>
      </c>
      <c r="G21" s="13" t="s">
        <v>36</v>
      </c>
      <c r="H21" s="14">
        <f>H8</f>
        <v>57507</v>
      </c>
      <c r="I21" s="15"/>
    </row>
    <row r="22" spans="1:12" ht="15.75" customHeight="1">
      <c r="A22" s="4" t="s">
        <v>13</v>
      </c>
      <c r="B22" s="5">
        <v>300</v>
      </c>
      <c r="D22" s="4" t="s">
        <v>13</v>
      </c>
      <c r="E22" s="5">
        <v>1016</v>
      </c>
      <c r="G22" s="12" t="s">
        <v>37</v>
      </c>
      <c r="H22" s="16">
        <f>H18</f>
        <v>37411.01</v>
      </c>
      <c r="I22" s="15"/>
    </row>
    <row r="23" spans="1:12" ht="15.75" customHeight="1">
      <c r="A23" s="4" t="s">
        <v>15</v>
      </c>
      <c r="B23" s="5">
        <v>155</v>
      </c>
      <c r="D23" s="4" t="s">
        <v>15</v>
      </c>
      <c r="E23" s="5">
        <v>314</v>
      </c>
      <c r="G23" s="17" t="s">
        <v>38</v>
      </c>
      <c r="H23" s="18">
        <f>H21-H22</f>
        <v>20095.989999999998</v>
      </c>
      <c r="I23" s="15"/>
    </row>
    <row r="24" spans="1:12" ht="15.75" customHeight="1">
      <c r="A24" s="4" t="s">
        <v>18</v>
      </c>
      <c r="B24" s="5">
        <v>124</v>
      </c>
      <c r="D24" s="4" t="s">
        <v>18</v>
      </c>
      <c r="E24" s="5"/>
      <c r="G24" s="19" t="s">
        <v>40</v>
      </c>
      <c r="H24" s="20">
        <f>H23*0.4</f>
        <v>8038.3959999999997</v>
      </c>
      <c r="I24" s="15"/>
    </row>
    <row r="25" spans="1:12" ht="15.75" customHeight="1">
      <c r="A25" s="4" t="s">
        <v>20</v>
      </c>
      <c r="B25" s="5">
        <v>3678</v>
      </c>
      <c r="D25" s="4" t="s">
        <v>20</v>
      </c>
      <c r="E25" s="5">
        <v>1548</v>
      </c>
      <c r="G25" s="1" t="s">
        <v>41</v>
      </c>
      <c r="H25" s="8">
        <f>H23*0.6</f>
        <v>12057.593999999999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>
        <v>6075</v>
      </c>
      <c r="D28" s="23" t="s">
        <v>45</v>
      </c>
      <c r="E28" s="6" t="s">
        <v>46</v>
      </c>
      <c r="G28" s="24" t="s">
        <v>47</v>
      </c>
      <c r="H28" s="25">
        <f>H23/H21</f>
        <v>0.34945293616429302</v>
      </c>
    </row>
    <row r="29" spans="1:12" ht="15.75" customHeight="1">
      <c r="A29" s="4" t="s">
        <v>11</v>
      </c>
      <c r="B29" s="5">
        <v>580</v>
      </c>
      <c r="D29" s="4" t="s">
        <v>213</v>
      </c>
      <c r="E29" s="5"/>
      <c r="G29" s="1" t="s">
        <v>48</v>
      </c>
      <c r="H29" s="1">
        <f>SUM(H9:N9)</f>
        <v>670</v>
      </c>
    </row>
    <row r="30" spans="1:12" ht="15.75" customHeight="1">
      <c r="A30" s="4" t="s">
        <v>13</v>
      </c>
      <c r="B30" s="5">
        <v>700</v>
      </c>
      <c r="D30" s="4" t="s">
        <v>186</v>
      </c>
      <c r="E30" s="5">
        <v>1140</v>
      </c>
      <c r="G30" s="1" t="s">
        <v>49</v>
      </c>
      <c r="H30" s="1">
        <f>H21/H29</f>
        <v>85.831343283582086</v>
      </c>
    </row>
    <row r="31" spans="1:12" ht="15.75" customHeight="1">
      <c r="A31" s="4" t="s">
        <v>15</v>
      </c>
      <c r="B31" s="5">
        <v>144</v>
      </c>
      <c r="D31" s="4" t="s">
        <v>198</v>
      </c>
      <c r="E31" s="5">
        <v>1260</v>
      </c>
      <c r="G31" s="1" t="s">
        <v>50</v>
      </c>
      <c r="H31" s="1">
        <f>H23/H29</f>
        <v>29.994014925373133</v>
      </c>
    </row>
    <row r="32" spans="1:12" ht="15.75" customHeight="1">
      <c r="A32" s="4" t="s">
        <v>18</v>
      </c>
      <c r="B32" s="5">
        <v>121</v>
      </c>
      <c r="D32" s="4" t="s">
        <v>214</v>
      </c>
      <c r="E32" s="5"/>
      <c r="G32" s="1" t="s">
        <v>51</v>
      </c>
      <c r="H32" s="4">
        <f>H22/H29</f>
        <v>55.837328358208957</v>
      </c>
    </row>
    <row r="33" spans="1:5" ht="15.75" customHeight="1">
      <c r="A33" s="4" t="s">
        <v>20</v>
      </c>
      <c r="B33" s="5">
        <v>3817</v>
      </c>
      <c r="D33" s="4" t="s">
        <v>181</v>
      </c>
      <c r="E33" s="5">
        <v>310</v>
      </c>
    </row>
    <row r="34" spans="1:5" ht="15.75" customHeight="1">
      <c r="D34" s="4" t="s">
        <v>182</v>
      </c>
      <c r="E34" s="5">
        <v>1713.01</v>
      </c>
    </row>
    <row r="35" spans="1:5" ht="15.75" customHeight="1">
      <c r="D35" s="4" t="s">
        <v>200</v>
      </c>
      <c r="E35" s="5">
        <v>700</v>
      </c>
    </row>
    <row r="36" spans="1:5" ht="15.75" customHeight="1">
      <c r="D36" s="4"/>
      <c r="E36" s="5"/>
    </row>
    <row r="37" spans="1:5" ht="15.75" customHeight="1">
      <c r="D37" s="4"/>
      <c r="E37" s="5"/>
    </row>
    <row r="38" spans="1:5" ht="15.75" customHeight="1">
      <c r="D38" s="4"/>
      <c r="E38" s="5"/>
    </row>
    <row r="39" spans="1:5" ht="15.75" customHeight="1">
      <c r="D39" s="28" t="s">
        <v>53</v>
      </c>
      <c r="E39" s="5">
        <f>SUM(E29:E38)</f>
        <v>5123.01</v>
      </c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000"/>
  <sheetViews>
    <sheetView topLeftCell="A10" zoomScale="80" zoomScaleNormal="80" workbookViewId="0">
      <selection activeCell="E30" sqref="E30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/>
      <c r="D4" s="1" t="s">
        <v>3</v>
      </c>
      <c r="E4" s="2"/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/>
      <c r="D5" s="4" t="s">
        <v>11</v>
      </c>
      <c r="E5" s="5"/>
      <c r="G5" s="3" t="s">
        <v>12</v>
      </c>
      <c r="H5" s="6">
        <f>B4</f>
        <v>0</v>
      </c>
      <c r="I5" s="6">
        <f>B12</f>
        <v>0</v>
      </c>
      <c r="J5" s="6">
        <f>B20</f>
        <v>0</v>
      </c>
      <c r="K5" s="6">
        <f>E4</f>
        <v>0</v>
      </c>
      <c r="L5" s="7">
        <f>B28</f>
        <v>0</v>
      </c>
      <c r="M5" s="7">
        <f>E12</f>
        <v>0</v>
      </c>
      <c r="N5" s="7">
        <f>E20</f>
        <v>0</v>
      </c>
    </row>
    <row r="6" spans="1:14">
      <c r="A6" s="4" t="s">
        <v>13</v>
      </c>
      <c r="B6" s="5"/>
      <c r="D6" s="4" t="s">
        <v>13</v>
      </c>
      <c r="E6" s="5"/>
      <c r="G6" s="3" t="s">
        <v>14</v>
      </c>
      <c r="H6" s="64">
        <f>H8*0.4</f>
        <v>0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/>
      <c r="D7" s="4" t="s">
        <v>15</v>
      </c>
      <c r="E7" s="5"/>
      <c r="G7" s="3" t="s">
        <v>16</v>
      </c>
      <c r="H7" s="64">
        <f>H8*0.6</f>
        <v>0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/>
      <c r="D8" s="4" t="s">
        <v>18</v>
      </c>
      <c r="E8" s="5"/>
      <c r="G8" s="3" t="s">
        <v>19</v>
      </c>
      <c r="H8" s="65">
        <f>SUM(H5:N5)</f>
        <v>0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/>
      <c r="D9" s="4" t="s">
        <v>20</v>
      </c>
      <c r="E9" s="5"/>
      <c r="G9" s="3" t="s">
        <v>21</v>
      </c>
      <c r="H9" s="4"/>
      <c r="I9" s="4"/>
      <c r="J9" s="4"/>
      <c r="K9" s="4"/>
      <c r="L9" s="4"/>
      <c r="M9" s="4"/>
      <c r="N9" s="4"/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/>
      <c r="D12" s="1" t="s">
        <v>3</v>
      </c>
      <c r="E12" s="2"/>
      <c r="G12" s="1" t="s">
        <v>26</v>
      </c>
      <c r="H12" s="64">
        <f>E5+B5+B13+B21+E13+E21+B29</f>
        <v>0</v>
      </c>
      <c r="I12" s="63"/>
      <c r="J12" s="63"/>
      <c r="K12" s="63"/>
      <c r="L12" s="10">
        <f>H12/H18</f>
        <v>0</v>
      </c>
    </row>
    <row r="13" spans="1:14">
      <c r="A13" s="4" t="s">
        <v>11</v>
      </c>
      <c r="B13" s="5"/>
      <c r="D13" s="4" t="s">
        <v>11</v>
      </c>
      <c r="E13" s="5"/>
      <c r="G13" s="1" t="s">
        <v>27</v>
      </c>
      <c r="H13" s="64">
        <f t="shared" ref="H13:H16" si="0">E6+B6+B14+B22+B30+E14+E22</f>
        <v>0</v>
      </c>
      <c r="I13" s="63"/>
      <c r="J13" s="63"/>
      <c r="K13" s="63"/>
      <c r="L13" s="10">
        <f>H13/H18</f>
        <v>0</v>
      </c>
    </row>
    <row r="14" spans="1:14">
      <c r="A14" s="4" t="s">
        <v>13</v>
      </c>
      <c r="B14" s="5"/>
      <c r="D14" s="4" t="s">
        <v>13</v>
      </c>
      <c r="E14" s="5"/>
      <c r="G14" s="1" t="s">
        <v>28</v>
      </c>
      <c r="H14" s="64">
        <f t="shared" si="0"/>
        <v>0</v>
      </c>
      <c r="I14" s="63"/>
      <c r="J14" s="63"/>
      <c r="K14" s="63"/>
      <c r="L14" s="10">
        <f>H14/H18</f>
        <v>0</v>
      </c>
    </row>
    <row r="15" spans="1:14">
      <c r="A15" s="4" t="s">
        <v>15</v>
      </c>
      <c r="B15" s="5"/>
      <c r="D15" s="4" t="s">
        <v>15</v>
      </c>
      <c r="E15" s="5"/>
      <c r="G15" s="1" t="s">
        <v>55</v>
      </c>
      <c r="H15" s="64">
        <f t="shared" si="0"/>
        <v>0</v>
      </c>
      <c r="I15" s="63"/>
      <c r="J15" s="63"/>
      <c r="K15" s="63"/>
      <c r="L15" s="10">
        <f>H15/H18</f>
        <v>0</v>
      </c>
    </row>
    <row r="16" spans="1:14">
      <c r="A16" s="4" t="s">
        <v>18</v>
      </c>
      <c r="B16" s="5"/>
      <c r="D16" s="4" t="s">
        <v>18</v>
      </c>
      <c r="E16" s="5"/>
      <c r="G16" s="1" t="s">
        <v>30</v>
      </c>
      <c r="H16" s="64">
        <f t="shared" si="0"/>
        <v>0</v>
      </c>
      <c r="I16" s="63"/>
      <c r="J16" s="63"/>
      <c r="K16" s="63"/>
      <c r="L16" s="10">
        <f t="shared" ref="L16:L17" si="1">H16/H22</f>
        <v>0</v>
      </c>
    </row>
    <row r="17" spans="1:13">
      <c r="A17" s="4" t="s">
        <v>20</v>
      </c>
      <c r="B17" s="5"/>
      <c r="D17" s="4" t="s">
        <v>20</v>
      </c>
      <c r="E17" s="5"/>
      <c r="G17" s="11" t="s">
        <v>31</v>
      </c>
      <c r="H17" s="66">
        <f>E39</f>
        <v>7219.83</v>
      </c>
      <c r="I17" s="63"/>
      <c r="J17" s="63"/>
      <c r="K17" s="67"/>
      <c r="L17" s="10">
        <f t="shared" si="1"/>
        <v>-1</v>
      </c>
    </row>
    <row r="18" spans="1:13">
      <c r="G18" s="12" t="s">
        <v>32</v>
      </c>
      <c r="H18" s="68">
        <f>H17+H16+H15+H14+H13+H12</f>
        <v>7219.83</v>
      </c>
      <c r="I18" s="63"/>
      <c r="J18" s="63"/>
      <c r="K18" s="67"/>
      <c r="L18" s="4"/>
    </row>
    <row r="19" spans="1:13" ht="18.75">
      <c r="A19" s="60" t="s">
        <v>33</v>
      </c>
      <c r="B19" s="61"/>
      <c r="D19" s="60" t="s">
        <v>34</v>
      </c>
      <c r="E19" s="61"/>
    </row>
    <row r="20" spans="1:13" ht="15.75">
      <c r="A20" s="1" t="s">
        <v>3</v>
      </c>
      <c r="B20" s="2"/>
      <c r="D20" s="1" t="s">
        <v>3</v>
      </c>
      <c r="E20" s="2"/>
      <c r="G20" s="69" t="s">
        <v>35</v>
      </c>
      <c r="H20" s="63"/>
      <c r="I20" s="61"/>
    </row>
    <row r="21" spans="1:13" ht="15.75" customHeight="1">
      <c r="A21" s="4" t="s">
        <v>11</v>
      </c>
      <c r="B21" s="5"/>
      <c r="D21" s="4" t="s">
        <v>11</v>
      </c>
      <c r="E21" s="5"/>
      <c r="G21" s="13" t="s">
        <v>36</v>
      </c>
      <c r="H21" s="14">
        <f>H8</f>
        <v>0</v>
      </c>
      <c r="I21" s="15"/>
    </row>
    <row r="22" spans="1:13" ht="15.75" customHeight="1">
      <c r="A22" s="4" t="s">
        <v>13</v>
      </c>
      <c r="B22" s="5"/>
      <c r="D22" s="4" t="s">
        <v>13</v>
      </c>
      <c r="E22" s="5"/>
      <c r="G22" s="12" t="s">
        <v>37</v>
      </c>
      <c r="H22" s="16">
        <f>H18</f>
        <v>7219.83</v>
      </c>
      <c r="I22" s="15"/>
    </row>
    <row r="23" spans="1:13" ht="15.75" customHeight="1">
      <c r="A23" s="4" t="s">
        <v>15</v>
      </c>
      <c r="B23" s="5"/>
      <c r="D23" s="4" t="s">
        <v>15</v>
      </c>
      <c r="E23" s="5"/>
      <c r="G23" s="17" t="s">
        <v>38</v>
      </c>
      <c r="H23" s="18">
        <f>H21-H22</f>
        <v>-7219.83</v>
      </c>
      <c r="I23" s="15"/>
    </row>
    <row r="24" spans="1:13" ht="15.75" customHeight="1">
      <c r="A24" s="4" t="s">
        <v>18</v>
      </c>
      <c r="B24" s="5"/>
      <c r="D24" s="4" t="s">
        <v>18</v>
      </c>
      <c r="E24" s="5"/>
      <c r="G24" s="19" t="s">
        <v>40</v>
      </c>
      <c r="H24" s="20">
        <f>H23*0.4</f>
        <v>-2887.9320000000002</v>
      </c>
      <c r="I24" s="15"/>
    </row>
    <row r="25" spans="1:13" ht="15.75" customHeight="1">
      <c r="A25" s="4" t="s">
        <v>20</v>
      </c>
      <c r="B25" s="5"/>
      <c r="D25" s="4" t="s">
        <v>20</v>
      </c>
      <c r="E25" s="5"/>
      <c r="G25" s="1" t="s">
        <v>41</v>
      </c>
      <c r="H25" s="8">
        <f>H23*0.6</f>
        <v>-4331.8980000000001</v>
      </c>
      <c r="I25" s="15"/>
    </row>
    <row r="26" spans="1:13" ht="15.75" customHeight="1">
      <c r="B26" s="21"/>
    </row>
    <row r="27" spans="1:13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3" ht="15.75" customHeight="1">
      <c r="A28" s="1" t="s">
        <v>3</v>
      </c>
      <c r="B28" s="2"/>
      <c r="D28" s="23" t="s">
        <v>45</v>
      </c>
      <c r="E28" s="6" t="s">
        <v>46</v>
      </c>
      <c r="G28" s="24" t="s">
        <v>47</v>
      </c>
      <c r="H28" s="25" t="e">
        <f>H23/H21</f>
        <v>#DIV/0!</v>
      </c>
      <c r="J28" s="72"/>
      <c r="K28" s="73"/>
      <c r="L28" s="73"/>
      <c r="M28" s="73"/>
    </row>
    <row r="29" spans="1:13" ht="15.75" customHeight="1">
      <c r="A29" s="4" t="s">
        <v>11</v>
      </c>
      <c r="B29" s="5"/>
      <c r="D29" s="4" t="s">
        <v>187</v>
      </c>
      <c r="E29" s="5">
        <v>1140</v>
      </c>
      <c r="G29" s="1" t="s">
        <v>48</v>
      </c>
      <c r="H29" s="1">
        <f>SUM(H9:N9)</f>
        <v>0</v>
      </c>
      <c r="J29" s="73"/>
      <c r="K29" s="73"/>
      <c r="L29" s="73"/>
      <c r="M29" s="73"/>
    </row>
    <row r="30" spans="1:13" ht="15.75" customHeight="1">
      <c r="A30" s="4" t="s">
        <v>13</v>
      </c>
      <c r="B30" s="5"/>
      <c r="D30" s="4" t="s">
        <v>203</v>
      </c>
      <c r="E30" s="5">
        <v>1600</v>
      </c>
      <c r="G30" s="1" t="s">
        <v>49</v>
      </c>
      <c r="H30" s="1" t="e">
        <f>H21/H29</f>
        <v>#DIV/0!</v>
      </c>
      <c r="J30" s="73"/>
      <c r="K30" s="73"/>
      <c r="L30" s="73"/>
      <c r="M30" s="73"/>
    </row>
    <row r="31" spans="1:13" ht="15.75" customHeight="1">
      <c r="A31" s="4" t="s">
        <v>15</v>
      </c>
      <c r="B31" s="5"/>
      <c r="D31" s="4"/>
      <c r="E31" s="5"/>
      <c r="G31" s="1" t="s">
        <v>50</v>
      </c>
      <c r="H31" s="1" t="e">
        <f>H23/H29</f>
        <v>#DIV/0!</v>
      </c>
    </row>
    <row r="32" spans="1:13" ht="15.75" customHeight="1">
      <c r="A32" s="4" t="s">
        <v>18</v>
      </c>
      <c r="B32" s="5"/>
      <c r="D32" s="4" t="s">
        <v>208</v>
      </c>
      <c r="E32" s="5">
        <v>2338.1799999999998</v>
      </c>
      <c r="G32" s="1" t="s">
        <v>51</v>
      </c>
      <c r="H32" s="4" t="e">
        <f>H22/H29</f>
        <v>#DIV/0!</v>
      </c>
    </row>
    <row r="33" spans="1:5" ht="15.75" customHeight="1">
      <c r="A33" s="4" t="s">
        <v>20</v>
      </c>
      <c r="B33" s="5"/>
      <c r="D33" s="4" t="s">
        <v>183</v>
      </c>
      <c r="E33" s="5">
        <v>310</v>
      </c>
    </row>
    <row r="34" spans="1:5" ht="15.75" customHeight="1">
      <c r="D34" s="4" t="s">
        <v>207</v>
      </c>
      <c r="E34" s="5">
        <v>1631.65</v>
      </c>
    </row>
    <row r="35" spans="1:5" ht="15.75" customHeight="1">
      <c r="D35" s="4"/>
      <c r="E35" s="5"/>
    </row>
    <row r="36" spans="1:5" ht="15.75" customHeight="1">
      <c r="D36" s="4"/>
      <c r="E36" s="5"/>
    </row>
    <row r="37" spans="1:5" ht="15.75" customHeight="1">
      <c r="D37" s="4"/>
      <c r="E37" s="5"/>
    </row>
    <row r="38" spans="1:5" ht="15.75" customHeight="1">
      <c r="D38" s="4" t="s">
        <v>52</v>
      </c>
      <c r="E38" s="27">
        <v>200</v>
      </c>
    </row>
    <row r="39" spans="1:5" ht="15.75" customHeight="1">
      <c r="D39" s="28" t="s">
        <v>53</v>
      </c>
      <c r="E39" s="5">
        <f>SUM(E29:E38)</f>
        <v>7219.83</v>
      </c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J28:M30"/>
    <mergeCell ref="H16:K16"/>
    <mergeCell ref="H17:K17"/>
    <mergeCell ref="H18:K18"/>
    <mergeCell ref="A19:B19"/>
    <mergeCell ref="D19:E19"/>
    <mergeCell ref="G20:I20"/>
    <mergeCell ref="A27:B27"/>
    <mergeCell ref="H12:K12"/>
    <mergeCell ref="H13:K13"/>
    <mergeCell ref="H14:K14"/>
    <mergeCell ref="H15:K15"/>
    <mergeCell ref="D27:E27"/>
    <mergeCell ref="H7:N7"/>
    <mergeCell ref="H8:N8"/>
    <mergeCell ref="A11:B11"/>
    <mergeCell ref="D11:E11"/>
    <mergeCell ref="G11:K11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00"/>
  <sheetViews>
    <sheetView topLeftCell="A19" workbookViewId="0">
      <selection activeCell="E34" sqref="E34"/>
    </sheetView>
  </sheetViews>
  <sheetFormatPr defaultColWidth="14.42578125" defaultRowHeight="15" customHeight="1"/>
  <cols>
    <col min="1" max="1" width="26.5703125" customWidth="1"/>
    <col min="2" max="2" width="22.85546875" customWidth="1"/>
    <col min="3" max="3" width="4.85546875" customWidth="1"/>
    <col min="4" max="4" width="27.5703125" customWidth="1"/>
    <col min="5" max="5" width="22.140625" customWidth="1"/>
    <col min="6" max="6" width="5.140625" customWidth="1"/>
    <col min="7" max="7" width="30" customWidth="1"/>
    <col min="8" max="8" width="15.7109375" customWidth="1"/>
    <col min="9" max="9" width="16.5703125" customWidth="1"/>
    <col min="10" max="10" width="14.42578125" customWidth="1"/>
    <col min="11" max="11" width="15.7109375" customWidth="1"/>
    <col min="12" max="12" width="14" customWidth="1"/>
    <col min="13" max="13" width="21.5703125" customWidth="1"/>
    <col min="14" max="14" width="17.7109375" customWidth="1"/>
    <col min="15" max="26" width="8.7109375" customWidth="1"/>
  </cols>
  <sheetData>
    <row r="1" spans="1:14" ht="18.75">
      <c r="A1" s="57" t="s">
        <v>74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3" spans="1:14" ht="18.75">
      <c r="A3" s="60" t="s">
        <v>0</v>
      </c>
      <c r="B3" s="61"/>
      <c r="D3" s="60" t="s">
        <v>1</v>
      </c>
      <c r="E3" s="61"/>
      <c r="G3" s="62" t="s">
        <v>2</v>
      </c>
      <c r="H3" s="63"/>
      <c r="I3" s="63"/>
      <c r="J3" s="63"/>
      <c r="K3" s="63"/>
      <c r="L3" s="63"/>
      <c r="M3" s="63"/>
      <c r="N3" s="61"/>
    </row>
    <row r="4" spans="1:14">
      <c r="A4" s="1" t="s">
        <v>3</v>
      </c>
      <c r="B4" s="2"/>
      <c r="D4" s="1" t="s">
        <v>3</v>
      </c>
      <c r="E4" s="2"/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</row>
    <row r="5" spans="1:14">
      <c r="A5" s="4" t="s">
        <v>11</v>
      </c>
      <c r="B5" s="5"/>
      <c r="D5" s="4" t="s">
        <v>11</v>
      </c>
      <c r="E5" s="5"/>
      <c r="G5" s="3" t="s">
        <v>12</v>
      </c>
      <c r="H5" s="6">
        <f>B4</f>
        <v>0</v>
      </c>
      <c r="I5" s="6">
        <f>B12</f>
        <v>0</v>
      </c>
      <c r="J5" s="6">
        <f>B20</f>
        <v>0</v>
      </c>
      <c r="K5" s="6">
        <f>E4</f>
        <v>0</v>
      </c>
      <c r="L5" s="7">
        <f>B28</f>
        <v>0</v>
      </c>
      <c r="M5" s="7">
        <f>E12</f>
        <v>0</v>
      </c>
      <c r="N5" s="7">
        <f>E20</f>
        <v>0</v>
      </c>
    </row>
    <row r="6" spans="1:14">
      <c r="A6" s="4" t="s">
        <v>13</v>
      </c>
      <c r="B6" s="5"/>
      <c r="D6" s="4" t="s">
        <v>13</v>
      </c>
      <c r="E6" s="5"/>
      <c r="G6" s="3" t="s">
        <v>14</v>
      </c>
      <c r="H6" s="64">
        <f>H8*0.4</f>
        <v>0</v>
      </c>
      <c r="I6" s="63"/>
      <c r="J6" s="63"/>
      <c r="K6" s="63"/>
      <c r="L6" s="63"/>
      <c r="M6" s="63"/>
      <c r="N6" s="61"/>
    </row>
    <row r="7" spans="1:14">
      <c r="A7" s="4" t="s">
        <v>15</v>
      </c>
      <c r="B7" s="5"/>
      <c r="D7" s="4" t="s">
        <v>15</v>
      </c>
      <c r="E7" s="5"/>
      <c r="G7" s="3" t="s">
        <v>16</v>
      </c>
      <c r="H7" s="64">
        <f>H8*0.6</f>
        <v>0</v>
      </c>
      <c r="I7" s="63"/>
      <c r="J7" s="63"/>
      <c r="K7" s="63"/>
      <c r="L7" s="63"/>
      <c r="M7" s="63"/>
      <c r="N7" s="61"/>
    </row>
    <row r="8" spans="1:14">
      <c r="A8" s="4" t="s">
        <v>54</v>
      </c>
      <c r="B8" s="5"/>
      <c r="D8" s="4" t="s">
        <v>18</v>
      </c>
      <c r="E8" s="5"/>
      <c r="G8" s="3" t="s">
        <v>19</v>
      </c>
      <c r="H8" s="65">
        <f>SUM(H5:N5)</f>
        <v>0</v>
      </c>
      <c r="I8" s="63"/>
      <c r="J8" s="63"/>
      <c r="K8" s="63"/>
      <c r="L8" s="63"/>
      <c r="M8" s="63"/>
      <c r="N8" s="61"/>
    </row>
    <row r="9" spans="1:14">
      <c r="A9" s="4" t="s">
        <v>20</v>
      </c>
      <c r="B9" s="5"/>
      <c r="D9" s="4" t="s">
        <v>20</v>
      </c>
      <c r="E9" s="5"/>
      <c r="G9" s="3" t="s">
        <v>21</v>
      </c>
      <c r="H9" s="4"/>
      <c r="I9" s="4"/>
      <c r="J9" s="4"/>
      <c r="K9" s="4"/>
      <c r="L9" s="4"/>
      <c r="M9" s="4"/>
      <c r="N9" s="4"/>
    </row>
    <row r="11" spans="1:14" ht="18.75">
      <c r="A11" s="60" t="s">
        <v>22</v>
      </c>
      <c r="B11" s="61"/>
      <c r="D11" s="60" t="s">
        <v>23</v>
      </c>
      <c r="E11" s="61"/>
      <c r="G11" s="71" t="s">
        <v>24</v>
      </c>
      <c r="H11" s="63"/>
      <c r="I11" s="63"/>
      <c r="J11" s="63"/>
      <c r="K11" s="67"/>
      <c r="L11" s="9" t="s">
        <v>25</v>
      </c>
    </row>
    <row r="12" spans="1:14">
      <c r="A12" s="1" t="s">
        <v>3</v>
      </c>
      <c r="B12" s="2"/>
      <c r="D12" s="1" t="s">
        <v>3</v>
      </c>
      <c r="E12" s="2"/>
      <c r="G12" s="1" t="s">
        <v>26</v>
      </c>
      <c r="H12" s="64">
        <f>E5+B5+B13+B21+E13+E21+B29</f>
        <v>0</v>
      </c>
      <c r="I12" s="63"/>
      <c r="J12" s="63"/>
      <c r="K12" s="63"/>
      <c r="L12" s="10">
        <f>H12/H18</f>
        <v>0</v>
      </c>
    </row>
    <row r="13" spans="1:14">
      <c r="A13" s="4" t="s">
        <v>11</v>
      </c>
      <c r="B13" s="5"/>
      <c r="D13" s="4" t="s">
        <v>11</v>
      </c>
      <c r="E13" s="5"/>
      <c r="G13" s="1" t="s">
        <v>27</v>
      </c>
      <c r="H13" s="64">
        <f t="shared" ref="H13:H16" si="0">E6+B6+B14+B22+B30+E14+E22</f>
        <v>0</v>
      </c>
      <c r="I13" s="63"/>
      <c r="J13" s="63"/>
      <c r="K13" s="63"/>
      <c r="L13" s="10">
        <f>H13/H18</f>
        <v>0</v>
      </c>
    </row>
    <row r="14" spans="1:14">
      <c r="A14" s="4" t="s">
        <v>13</v>
      </c>
      <c r="B14" s="5"/>
      <c r="D14" s="4" t="s">
        <v>13</v>
      </c>
      <c r="E14" s="5"/>
      <c r="G14" s="1" t="s">
        <v>28</v>
      </c>
      <c r="H14" s="64">
        <f t="shared" si="0"/>
        <v>0</v>
      </c>
      <c r="I14" s="63"/>
      <c r="J14" s="63"/>
      <c r="K14" s="63"/>
      <c r="L14" s="10">
        <f>H14/H18</f>
        <v>0</v>
      </c>
    </row>
    <row r="15" spans="1:14">
      <c r="A15" s="4" t="s">
        <v>15</v>
      </c>
      <c r="B15" s="5"/>
      <c r="D15" s="4" t="s">
        <v>15</v>
      </c>
      <c r="E15" s="5"/>
      <c r="G15" s="1" t="s">
        <v>55</v>
      </c>
      <c r="H15" s="64">
        <f t="shared" si="0"/>
        <v>0</v>
      </c>
      <c r="I15" s="63"/>
      <c r="J15" s="63"/>
      <c r="K15" s="63"/>
      <c r="L15" s="10">
        <f>H15/H18</f>
        <v>0</v>
      </c>
    </row>
    <row r="16" spans="1:14">
      <c r="A16" s="4" t="s">
        <v>18</v>
      </c>
      <c r="B16" s="5"/>
      <c r="D16" s="4" t="s">
        <v>18</v>
      </c>
      <c r="E16" s="5"/>
      <c r="G16" s="1" t="s">
        <v>30</v>
      </c>
      <c r="H16" s="64">
        <f t="shared" si="0"/>
        <v>0</v>
      </c>
      <c r="I16" s="63"/>
      <c r="J16" s="63"/>
      <c r="K16" s="63"/>
      <c r="L16" s="10">
        <f t="shared" ref="L16:L17" si="1">H16/H22</f>
        <v>0</v>
      </c>
    </row>
    <row r="17" spans="1:12">
      <c r="A17" s="4" t="s">
        <v>20</v>
      </c>
      <c r="B17" s="5"/>
      <c r="D17" s="4" t="s">
        <v>20</v>
      </c>
      <c r="E17" s="5"/>
      <c r="G17" s="11" t="s">
        <v>31</v>
      </c>
      <c r="H17" s="66">
        <f>E39</f>
        <v>1910</v>
      </c>
      <c r="I17" s="63"/>
      <c r="J17" s="63"/>
      <c r="K17" s="67"/>
      <c r="L17" s="10">
        <f t="shared" si="1"/>
        <v>-1</v>
      </c>
    </row>
    <row r="18" spans="1:12">
      <c r="G18" s="12" t="s">
        <v>32</v>
      </c>
      <c r="H18" s="68">
        <f>H17+H16+H15+H14+H13+H12</f>
        <v>1910</v>
      </c>
      <c r="I18" s="63"/>
      <c r="J18" s="63"/>
      <c r="K18" s="67"/>
      <c r="L18" s="4"/>
    </row>
    <row r="19" spans="1:12" ht="18.75">
      <c r="A19" s="60" t="s">
        <v>33</v>
      </c>
      <c r="B19" s="61"/>
      <c r="D19" s="60" t="s">
        <v>34</v>
      </c>
      <c r="E19" s="61"/>
    </row>
    <row r="20" spans="1:12" ht="15.75">
      <c r="A20" s="1" t="s">
        <v>3</v>
      </c>
      <c r="B20" s="2"/>
      <c r="D20" s="1" t="s">
        <v>3</v>
      </c>
      <c r="E20" s="2"/>
      <c r="G20" s="69" t="s">
        <v>35</v>
      </c>
      <c r="H20" s="63"/>
      <c r="I20" s="61"/>
    </row>
    <row r="21" spans="1:12" ht="15.75" customHeight="1">
      <c r="A21" s="4" t="s">
        <v>11</v>
      </c>
      <c r="B21" s="5"/>
      <c r="D21" s="4" t="s">
        <v>11</v>
      </c>
      <c r="E21" s="5"/>
      <c r="G21" s="13" t="s">
        <v>36</v>
      </c>
      <c r="H21" s="14">
        <f>H8</f>
        <v>0</v>
      </c>
      <c r="I21" s="15"/>
    </row>
    <row r="22" spans="1:12" ht="15.75" customHeight="1">
      <c r="A22" s="4" t="s">
        <v>13</v>
      </c>
      <c r="B22" s="5"/>
      <c r="D22" s="4" t="s">
        <v>13</v>
      </c>
      <c r="E22" s="5"/>
      <c r="G22" s="12" t="s">
        <v>37</v>
      </c>
      <c r="H22" s="16">
        <f>H18</f>
        <v>1910</v>
      </c>
      <c r="I22" s="15"/>
    </row>
    <row r="23" spans="1:12" ht="15.75" customHeight="1">
      <c r="A23" s="4" t="s">
        <v>15</v>
      </c>
      <c r="B23" s="5"/>
      <c r="D23" s="4" t="s">
        <v>15</v>
      </c>
      <c r="E23" s="5"/>
      <c r="G23" s="17" t="s">
        <v>38</v>
      </c>
      <c r="H23" s="18">
        <f>H21-H22</f>
        <v>-1910</v>
      </c>
      <c r="I23" s="15"/>
    </row>
    <row r="24" spans="1:12" ht="15.75" customHeight="1">
      <c r="A24" s="4" t="s">
        <v>18</v>
      </c>
      <c r="B24" s="5"/>
      <c r="D24" s="4" t="s">
        <v>18</v>
      </c>
      <c r="E24" s="5"/>
      <c r="G24" s="19" t="s">
        <v>40</v>
      </c>
      <c r="H24" s="20">
        <f>H23*0.4</f>
        <v>-764</v>
      </c>
      <c r="I24" s="15"/>
    </row>
    <row r="25" spans="1:12" ht="15.75" customHeight="1">
      <c r="A25" s="4" t="s">
        <v>20</v>
      </c>
      <c r="B25" s="5"/>
      <c r="D25" s="4" t="s">
        <v>20</v>
      </c>
      <c r="E25" s="5"/>
      <c r="G25" s="1" t="s">
        <v>41</v>
      </c>
      <c r="H25" s="8">
        <f>H23*0.6</f>
        <v>-1146</v>
      </c>
      <c r="I25" s="15"/>
    </row>
    <row r="26" spans="1:12" ht="15.75" customHeight="1">
      <c r="B26" s="21"/>
    </row>
    <row r="27" spans="1:12" ht="15.75" customHeight="1">
      <c r="A27" s="60" t="s">
        <v>42</v>
      </c>
      <c r="B27" s="61"/>
      <c r="D27" s="70" t="s">
        <v>43</v>
      </c>
      <c r="E27" s="61"/>
      <c r="H27" s="22" t="s">
        <v>44</v>
      </c>
    </row>
    <row r="28" spans="1:12" ht="15.75" customHeight="1">
      <c r="A28" s="1" t="s">
        <v>3</v>
      </c>
      <c r="B28" s="2"/>
      <c r="D28" s="23" t="s">
        <v>45</v>
      </c>
      <c r="E28" s="6" t="s">
        <v>46</v>
      </c>
      <c r="G28" s="24" t="s">
        <v>47</v>
      </c>
      <c r="H28" s="25" t="e">
        <f>H23/H21</f>
        <v>#DIV/0!</v>
      </c>
    </row>
    <row r="29" spans="1:12" ht="15.75" customHeight="1">
      <c r="A29" s="4" t="s">
        <v>11</v>
      </c>
      <c r="B29" s="5"/>
      <c r="D29" s="4" t="s">
        <v>75</v>
      </c>
      <c r="E29" s="5"/>
      <c r="G29" s="1" t="s">
        <v>48</v>
      </c>
      <c r="H29" s="1">
        <f>SUM(H9:N9)</f>
        <v>0</v>
      </c>
    </row>
    <row r="30" spans="1:12" ht="15.75" customHeight="1">
      <c r="A30" s="4" t="s">
        <v>13</v>
      </c>
      <c r="B30" s="5"/>
      <c r="D30" s="4" t="s">
        <v>204</v>
      </c>
      <c r="E30" s="5">
        <v>1600</v>
      </c>
      <c r="G30" s="1" t="s">
        <v>49</v>
      </c>
      <c r="H30" s="1" t="e">
        <f>H21/H29</f>
        <v>#DIV/0!</v>
      </c>
    </row>
    <row r="31" spans="1:12" ht="15.75" customHeight="1">
      <c r="A31" s="4" t="s">
        <v>15</v>
      </c>
      <c r="B31" s="5"/>
      <c r="D31" s="4" t="s">
        <v>69</v>
      </c>
      <c r="E31" s="5"/>
      <c r="G31" s="1" t="s">
        <v>50</v>
      </c>
      <c r="H31" s="1" t="e">
        <f>H23/H29</f>
        <v>#DIV/0!</v>
      </c>
    </row>
    <row r="32" spans="1:12" ht="15.75" customHeight="1">
      <c r="A32" s="4" t="s">
        <v>18</v>
      </c>
      <c r="B32" s="5"/>
      <c r="D32" s="4" t="s">
        <v>205</v>
      </c>
      <c r="E32" s="5"/>
      <c r="G32" s="1" t="s">
        <v>51</v>
      </c>
      <c r="H32" s="4" t="e">
        <f>H22/H29</f>
        <v>#DIV/0!</v>
      </c>
    </row>
    <row r="33" spans="1:5" ht="15.75" customHeight="1">
      <c r="A33" s="4" t="s">
        <v>20</v>
      </c>
      <c r="B33" s="5"/>
      <c r="D33" s="4" t="s">
        <v>184</v>
      </c>
      <c r="E33" s="5">
        <v>310</v>
      </c>
    </row>
    <row r="34" spans="1:5" ht="15.75" customHeight="1">
      <c r="D34" s="4" t="s">
        <v>206</v>
      </c>
      <c r="E34" s="5"/>
    </row>
    <row r="35" spans="1:5" ht="15.75" customHeight="1">
      <c r="D35" s="4"/>
      <c r="E35" s="5"/>
    </row>
    <row r="36" spans="1:5" ht="15.75" customHeight="1">
      <c r="D36" s="4"/>
      <c r="E36" s="5"/>
    </row>
    <row r="37" spans="1:5" ht="15.75" customHeight="1">
      <c r="D37" s="4" t="s">
        <v>76</v>
      </c>
      <c r="E37" s="5"/>
    </row>
    <row r="38" spans="1:5" ht="15.75" customHeight="1">
      <c r="D38" s="4" t="s">
        <v>52</v>
      </c>
      <c r="E38" s="27"/>
    </row>
    <row r="39" spans="1:5" ht="15.75" customHeight="1">
      <c r="D39" s="28" t="s">
        <v>53</v>
      </c>
      <c r="E39" s="5">
        <f>SUM(E29:E38)</f>
        <v>1910</v>
      </c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1:B11"/>
    <mergeCell ref="D11:E11"/>
    <mergeCell ref="G11:K11"/>
    <mergeCell ref="H12:K12"/>
    <mergeCell ref="H13:K13"/>
    <mergeCell ref="A19:B19"/>
    <mergeCell ref="D19:E19"/>
    <mergeCell ref="G20:I20"/>
    <mergeCell ref="A27:B27"/>
    <mergeCell ref="D27:E27"/>
    <mergeCell ref="H7:N7"/>
    <mergeCell ref="H8:N8"/>
    <mergeCell ref="H16:K16"/>
    <mergeCell ref="H17:K17"/>
    <mergeCell ref="H18:K18"/>
    <mergeCell ref="H14:K14"/>
    <mergeCell ref="H15:K15"/>
    <mergeCell ref="A1:N1"/>
    <mergeCell ref="A3:B3"/>
    <mergeCell ref="D3:E3"/>
    <mergeCell ref="G3:N3"/>
    <mergeCell ref="H6:N6"/>
  </mergeCells>
  <pageMargins left="0.511811024" right="0.511811024" top="0.78740157499999996" bottom="0.78740157499999996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000"/>
  <sheetViews>
    <sheetView zoomScale="80" zoomScaleNormal="80" workbookViewId="0">
      <selection sqref="A1:N1"/>
    </sheetView>
  </sheetViews>
  <sheetFormatPr defaultColWidth="14.42578125" defaultRowHeight="15" customHeight="1"/>
  <cols>
    <col min="1" max="1" width="22.7109375" customWidth="1"/>
    <col min="2" max="2" width="22.5703125" customWidth="1"/>
    <col min="3" max="3" width="18.85546875" customWidth="1"/>
    <col min="4" max="4" width="16.85546875" customWidth="1"/>
    <col min="5" max="5" width="16.7109375" customWidth="1"/>
    <col min="6" max="6" width="21.28515625" customWidth="1"/>
    <col min="7" max="7" width="18.5703125" customWidth="1"/>
    <col min="8" max="8" width="18" customWidth="1"/>
    <col min="9" max="9" width="15.85546875" customWidth="1"/>
    <col min="10" max="10" width="19.140625" customWidth="1"/>
    <col min="11" max="11" width="15.5703125" customWidth="1"/>
    <col min="12" max="12" width="19.42578125" customWidth="1"/>
    <col min="13" max="13" width="24.42578125" customWidth="1"/>
    <col min="14" max="26" width="8.7109375" customWidth="1"/>
  </cols>
  <sheetData>
    <row r="1" spans="1:14" ht="18.75">
      <c r="A1" s="79" t="s">
        <v>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1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33" t="s">
        <v>78</v>
      </c>
      <c r="C3" s="33" t="s">
        <v>79</v>
      </c>
      <c r="D3" s="33" t="s">
        <v>80</v>
      </c>
      <c r="E3" s="33" t="s">
        <v>81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 t="s">
        <v>87</v>
      </c>
      <c r="L3" s="33" t="s">
        <v>88</v>
      </c>
      <c r="M3" s="33" t="s">
        <v>89</v>
      </c>
      <c r="N3" s="34"/>
    </row>
    <row r="4" spans="1:14">
      <c r="A4" s="3" t="s">
        <v>90</v>
      </c>
      <c r="B4" s="35">
        <f>'1º Acerto'!H21</f>
        <v>75733</v>
      </c>
      <c r="C4" s="35">
        <f>'2º Acerto '!H21</f>
        <v>63982</v>
      </c>
      <c r="D4" s="35">
        <f>'3º Acerto'!H21</f>
        <v>65082</v>
      </c>
      <c r="E4" s="35">
        <f>'4º Acerto'!H21</f>
        <v>57487</v>
      </c>
      <c r="F4" s="35">
        <f>'5º Acerto'!H21</f>
        <v>61718</v>
      </c>
      <c r="G4" s="35">
        <f>'6º Acerto'!H21</f>
        <v>65875</v>
      </c>
      <c r="H4" s="35">
        <f>'7º Acerto'!H21</f>
        <v>61098</v>
      </c>
      <c r="I4" s="35">
        <f>'8º Acerto'!H21</f>
        <v>65283</v>
      </c>
      <c r="J4" s="35">
        <f>'9º Acerto'!H21</f>
        <v>57601</v>
      </c>
      <c r="K4" s="35">
        <f>'10º Acerto'!H21</f>
        <v>57507</v>
      </c>
      <c r="L4" s="35">
        <f>'11º Acerto'!H21</f>
        <v>0</v>
      </c>
      <c r="M4" s="35">
        <f>'12º Acerto'!H21</f>
        <v>0</v>
      </c>
      <c r="N4" s="4"/>
    </row>
    <row r="5" spans="1:14">
      <c r="A5" s="3" t="s">
        <v>91</v>
      </c>
      <c r="B5" s="29">
        <f>'1º Acerto'!H22</f>
        <v>43164.68</v>
      </c>
      <c r="C5" s="29">
        <f>'2º Acerto '!H22</f>
        <v>32301.42</v>
      </c>
      <c r="D5" s="29">
        <f>'3º Acerto'!H22</f>
        <v>60328.75</v>
      </c>
      <c r="E5" s="29">
        <f>'4º Acerto'!H22</f>
        <v>44991.92</v>
      </c>
      <c r="F5" s="29">
        <f>'5º Acerto'!H22</f>
        <v>40555.440000000002</v>
      </c>
      <c r="G5" s="29">
        <f>'6º Acerto'!H22</f>
        <v>37961</v>
      </c>
      <c r="H5" s="29">
        <f>'7º Acerto'!H22</f>
        <v>41544.089999999997</v>
      </c>
      <c r="I5" s="29">
        <f>'8º Acerto'!H22</f>
        <v>59863.62</v>
      </c>
      <c r="J5" s="29">
        <f>'9º Acerto'!H22</f>
        <v>37415.19</v>
      </c>
      <c r="K5" s="29">
        <f>'10º Acerto'!H22</f>
        <v>37411.01</v>
      </c>
      <c r="L5" s="29">
        <f>'11º Acerto'!H22</f>
        <v>7219.83</v>
      </c>
      <c r="M5" s="29">
        <f>'12º Acerto'!H22</f>
        <v>1910</v>
      </c>
      <c r="N5" s="4"/>
    </row>
    <row r="6" spans="1:14">
      <c r="A6" s="3" t="s">
        <v>92</v>
      </c>
      <c r="B6" s="36">
        <f>'1º Acerto'!H23</f>
        <v>32568.32</v>
      </c>
      <c r="C6" s="36">
        <f>'2º Acerto '!H23</f>
        <v>31680.58</v>
      </c>
      <c r="D6" s="36">
        <f>'3º Acerto'!H23</f>
        <v>4753.25</v>
      </c>
      <c r="E6" s="36">
        <f>'4º Acerto'!H23</f>
        <v>12495.080000000002</v>
      </c>
      <c r="F6" s="36">
        <f>'5º Acerto'!H23</f>
        <v>21162.559999999998</v>
      </c>
      <c r="G6" s="36">
        <f>'6º Acerto'!H23</f>
        <v>27914</v>
      </c>
      <c r="H6" s="36">
        <f>'7º Acerto'!H23</f>
        <v>19553.910000000003</v>
      </c>
      <c r="I6" s="36">
        <f>'8º Acerto'!H23</f>
        <v>5419.3799999999974</v>
      </c>
      <c r="J6" s="36">
        <f>'9º Acerto'!H23</f>
        <v>20185.809999999998</v>
      </c>
      <c r="K6" s="36">
        <f>'10º Acerto'!H23</f>
        <v>20095.989999999998</v>
      </c>
      <c r="L6" s="36">
        <f>'11º Acerto'!H23</f>
        <v>-7219.83</v>
      </c>
      <c r="M6" s="36">
        <f>'12º Acerto'!H23</f>
        <v>-1910</v>
      </c>
      <c r="N6" s="4"/>
    </row>
    <row r="7" spans="1:14">
      <c r="A7" s="3" t="s">
        <v>93</v>
      </c>
      <c r="B7" s="29">
        <f>'1º Acerto'!H24</f>
        <v>13027.328000000001</v>
      </c>
      <c r="C7" s="29">
        <f>'2º Acerto '!H24</f>
        <v>12672.232000000002</v>
      </c>
      <c r="D7" s="29">
        <f>'3º Acerto'!H24</f>
        <v>1901.3000000000002</v>
      </c>
      <c r="E7" s="29">
        <f>'4º Acerto'!H24</f>
        <v>4998.0320000000011</v>
      </c>
      <c r="F7" s="29">
        <f>'5º Acerto'!H24</f>
        <v>8465.0239999999994</v>
      </c>
      <c r="G7" s="29">
        <f>'6º Acerto'!H24</f>
        <v>11165.6</v>
      </c>
      <c r="H7" s="29">
        <f>'7º Acerto'!H24</f>
        <v>7821.5640000000021</v>
      </c>
      <c r="I7" s="29">
        <f>'8º Acerto'!H24</f>
        <v>2167.751999999999</v>
      </c>
      <c r="J7" s="29">
        <f>'9º Acerto'!H24</f>
        <v>8074.3239999999996</v>
      </c>
      <c r="K7" s="29">
        <f>'10º Acerto'!H24</f>
        <v>8038.3959999999997</v>
      </c>
      <c r="L7" s="29">
        <f>'11º Acerto'!H24</f>
        <v>-2887.9320000000002</v>
      </c>
      <c r="M7" s="29">
        <f>'12º Acerto'!H24</f>
        <v>-764</v>
      </c>
      <c r="N7" s="1"/>
    </row>
    <row r="8" spans="1:14">
      <c r="A8" s="3" t="s">
        <v>94</v>
      </c>
      <c r="B8" s="35">
        <f>'1º Acerto'!H25</f>
        <v>19540.991999999998</v>
      </c>
      <c r="C8" s="35">
        <f>'2º Acerto '!H25</f>
        <v>19008.348000000002</v>
      </c>
      <c r="D8" s="35">
        <f>'3º Acerto'!H25</f>
        <v>2851.95</v>
      </c>
      <c r="E8" s="35">
        <f>'4º Acerto'!H25</f>
        <v>7497.0480000000007</v>
      </c>
      <c r="F8" s="35">
        <f>'5º Acerto'!H25</f>
        <v>12697.535999999998</v>
      </c>
      <c r="G8" s="35">
        <f>'6º Acerto'!H25</f>
        <v>16748.399999999998</v>
      </c>
      <c r="H8" s="35">
        <f>'7º Acerto'!H25</f>
        <v>11732.346000000001</v>
      </c>
      <c r="I8" s="35">
        <f>'8º Acerto'!H25</f>
        <v>3251.6279999999983</v>
      </c>
      <c r="J8" s="35">
        <f>'9º Acerto'!H25</f>
        <v>12111.485999999999</v>
      </c>
      <c r="K8" s="35">
        <f>'10º Acerto'!H25</f>
        <v>12057.593999999999</v>
      </c>
      <c r="L8" s="35">
        <f>'11º Acerto'!H25</f>
        <v>-4331.8980000000001</v>
      </c>
      <c r="M8" s="35">
        <f>'12º Acerto'!H25</f>
        <v>-1146</v>
      </c>
      <c r="N8" s="1"/>
    </row>
    <row r="13" spans="1:14">
      <c r="D13" s="75" t="s">
        <v>95</v>
      </c>
      <c r="E13" s="61"/>
      <c r="F13" s="35">
        <f t="shared" ref="F13:F15" si="0">SUM(B4:M4)</f>
        <v>631366</v>
      </c>
      <c r="H13" s="26" t="s">
        <v>96</v>
      </c>
      <c r="I13" s="37">
        <f>F15/F13</f>
        <v>0.29570653155222171</v>
      </c>
      <c r="J13" s="74" t="s">
        <v>97</v>
      </c>
      <c r="K13" s="73"/>
      <c r="L13" s="73"/>
      <c r="M13" s="73"/>
      <c r="N13" s="73"/>
    </row>
    <row r="14" spans="1:14">
      <c r="D14" s="75" t="s">
        <v>98</v>
      </c>
      <c r="E14" s="61"/>
      <c r="F14" s="29">
        <f t="shared" si="0"/>
        <v>444666.95000000007</v>
      </c>
      <c r="H14" s="26" t="s">
        <v>99</v>
      </c>
      <c r="I14" s="37">
        <f>F15/'Patrimonio Rossiny  Mãe'!F10</f>
        <v>0.14502023458132671</v>
      </c>
      <c r="J14" s="74" t="s">
        <v>100</v>
      </c>
      <c r="K14" s="73"/>
      <c r="L14" s="73"/>
      <c r="M14" s="73"/>
      <c r="N14" s="73"/>
    </row>
    <row r="15" spans="1:14">
      <c r="D15" s="75" t="s">
        <v>101</v>
      </c>
      <c r="E15" s="61"/>
      <c r="F15" s="38">
        <f t="shared" si="0"/>
        <v>186699.05000000002</v>
      </c>
      <c r="H15" s="26" t="s">
        <v>102</v>
      </c>
      <c r="I15" s="39">
        <f>'Patrimonio Rossiny  Mãe'!F10/F15</f>
        <v>6.8955894526512047</v>
      </c>
      <c r="J15" s="74" t="s">
        <v>103</v>
      </c>
      <c r="K15" s="73"/>
      <c r="L15" s="73"/>
      <c r="M15" s="73"/>
      <c r="N15" s="73"/>
    </row>
    <row r="16" spans="1:14">
      <c r="D16" s="75" t="s">
        <v>104</v>
      </c>
      <c r="E16" s="61"/>
      <c r="F16" s="5">
        <f>SUM(B7:L7)</f>
        <v>75443.62</v>
      </c>
      <c r="H16" s="26" t="s">
        <v>105</v>
      </c>
      <c r="I16" s="40">
        <f t="shared" ref="I16:I17" si="1">F13/759</f>
        <v>831.83926218708825</v>
      </c>
      <c r="J16" s="74"/>
      <c r="K16" s="73"/>
      <c r="L16" s="73"/>
      <c r="M16" s="73"/>
      <c r="N16" s="73"/>
    </row>
    <row r="17" spans="4:14">
      <c r="D17" s="75" t="s">
        <v>106</v>
      </c>
      <c r="E17" s="61"/>
      <c r="F17" s="5">
        <f>SUM(B8:M8)</f>
        <v>112019.43</v>
      </c>
      <c r="H17" s="26" t="s">
        <v>51</v>
      </c>
      <c r="I17" s="40">
        <f t="shared" si="1"/>
        <v>585.85895915678532</v>
      </c>
      <c r="J17" s="74"/>
      <c r="K17" s="73"/>
      <c r="L17" s="73"/>
      <c r="M17" s="73"/>
      <c r="N17" s="73"/>
    </row>
    <row r="18" spans="4:14">
      <c r="H18" s="26" t="s">
        <v>50</v>
      </c>
      <c r="I18" s="5">
        <f>I16-I17</f>
        <v>245.98030303030293</v>
      </c>
      <c r="J18" s="74"/>
      <c r="K18" s="73"/>
      <c r="L18" s="73"/>
      <c r="M18" s="73"/>
      <c r="N18" s="73"/>
    </row>
    <row r="21" spans="4:14" ht="15.75" customHeight="1">
      <c r="D21" s="76" t="s">
        <v>107</v>
      </c>
      <c r="E21" s="61"/>
      <c r="F21" s="3" t="s">
        <v>4</v>
      </c>
      <c r="G21" s="3" t="s">
        <v>5</v>
      </c>
      <c r="H21" s="3" t="s">
        <v>6</v>
      </c>
      <c r="I21" s="33" t="s">
        <v>108</v>
      </c>
      <c r="J21" s="33" t="s">
        <v>7</v>
      </c>
      <c r="K21" s="33" t="s">
        <v>9</v>
      </c>
      <c r="L21" s="33" t="s">
        <v>109</v>
      </c>
    </row>
    <row r="22" spans="4:14" ht="15.75" customHeight="1">
      <c r="D22" s="77" t="s">
        <v>110</v>
      </c>
      <c r="E22" s="61"/>
      <c r="F22" s="5">
        <f>SUM('1º Acerto'!B4,'2º Acerto '!B4,'3º Acerto'!B4,'4º Acerto'!B4,'5º Acerto'!B4,'6º Acerto'!B4,'7º Acerto'!B4,'8º Acerto'!B4,'9º Acerto'!B4,'10º Acerto'!B4,'11º Acerto'!B4,'12º Acerto'!B4)</f>
        <v>104916</v>
      </c>
      <c r="G22" s="5">
        <f>SUM('1º Acerto'!B12,'2º Acerto '!B12,'3º Acerto'!B12,'4º Acerto'!B12,'5º Acerto'!B12,'6º Acerto'!B12,'7º Acerto'!B12,'8º Acerto'!B12,'9º Acerto'!B12,'10º Acerto'!B12,'11º Acerto'!B12,'12º Acerto'!B12)</f>
        <v>119775</v>
      </c>
      <c r="H22" s="5">
        <f>SUM('1º Acerto'!B20,'2º Acerto '!B20,'3º Acerto'!B20,'4º Acerto'!B20,'5º Acerto'!B20,'6º Acerto'!B20,'7º Acerto'!B20,'8º Acerto'!B20,'9º Acerto'!B20,'10º Acerto'!B20,'11º Acerto'!B20,'12º Acerto'!B20)</f>
        <v>66684</v>
      </c>
      <c r="I22" s="5">
        <f>SUM('1º Acerto'!B28,'2º Acerto '!B28,'3º Acerto'!B28,'4º Acerto'!B28,'5º Acerto'!B28,'6º Acerto'!B28,'7º Acerto'!B28,'8º Acerto'!B28,'9º Acerto'!B28,'10º Acerto'!B28,'11º Acerto'!B28,'12º Acerto'!B28)</f>
        <v>61044</v>
      </c>
      <c r="J22" s="5">
        <f>SUM('1º Acerto'!E4,'2º Acerto '!E4,'3º Acerto'!E4,'4º Acerto'!E4,'5º Acerto'!E4,'6º Acerto'!E4,'7º Acerto'!E4,'8º Acerto'!E4,'9º Acerto'!E4,'10º Acerto'!E4,'11º Acerto'!E4,'12º Acerto'!E4)</f>
        <v>77230</v>
      </c>
      <c r="K22" s="5">
        <f>SUM('1º Acerto'!E12,'2º Acerto '!E12,'3º Acerto'!E12,'4º Acerto'!E12,'5º Acerto'!E12,'6º Acerto'!E12,'7º Acerto'!E12,'8º Acerto'!E12,'9º Acerto'!E12,'10º Acerto'!E12,'11º Acerto'!E12,'12º Acerto'!E12)</f>
        <v>89515</v>
      </c>
      <c r="L22" s="5">
        <f>SUM('1º Acerto'!E20,'2º Acerto '!E20,'3º Acerto'!E20,'4º Acerto'!E20,'5º Acerto'!E20,'6º Acerto'!E20,'7º Acerto'!E20,'8º Acerto'!E20,'9º Acerto'!E20,'10º Acerto'!E20,'11º Acerto'!E20,'12º Acerto'!E20)</f>
        <v>112202</v>
      </c>
    </row>
    <row r="23" spans="4:14" ht="15.75" customHeight="1">
      <c r="D23" s="78" t="s">
        <v>111</v>
      </c>
      <c r="E23" s="61"/>
      <c r="F23" s="5"/>
      <c r="G23" s="5"/>
      <c r="H23" s="5"/>
      <c r="I23" s="5"/>
      <c r="J23" s="5"/>
      <c r="K23" s="4"/>
      <c r="L23" s="4"/>
    </row>
    <row r="24" spans="4:14" ht="15.75" customHeight="1">
      <c r="D24" s="78" t="s">
        <v>112</v>
      </c>
      <c r="E24" s="61"/>
      <c r="F24" s="5">
        <f>F22*I13</f>
        <v>31024.346464332892</v>
      </c>
      <c r="G24" s="5">
        <f>G22*I13</f>
        <v>35418.249816667354</v>
      </c>
      <c r="H24" s="5">
        <f>H22*I13</f>
        <v>19718.894350028353</v>
      </c>
      <c r="I24" s="5">
        <f>I22*I13</f>
        <v>18051.109512073821</v>
      </c>
      <c r="J24" s="5">
        <f>J22*I13</f>
        <v>22837.415431778081</v>
      </c>
      <c r="K24" s="5">
        <f>K22*I13</f>
        <v>26470.170171897127</v>
      </c>
      <c r="L24" s="5">
        <f>L22*I13</f>
        <v>33178.864253222382</v>
      </c>
    </row>
    <row r="25" spans="4:14" ht="15.75" customHeight="1">
      <c r="D25" s="78" t="s">
        <v>113</v>
      </c>
      <c r="E25" s="61"/>
      <c r="F25" s="41"/>
      <c r="G25" s="41"/>
      <c r="H25" s="41"/>
      <c r="I25" s="41"/>
      <c r="J25" s="41"/>
      <c r="K25" s="4"/>
      <c r="L25" s="4"/>
    </row>
    <row r="26" spans="4:14" ht="15.75" customHeight="1"/>
    <row r="27" spans="4:14" ht="15.75" customHeight="1"/>
    <row r="28" spans="4:14" ht="15.75" customHeight="1"/>
    <row r="29" spans="4:14" ht="15.75" customHeight="1"/>
    <row r="30" spans="4:14" ht="15.75" customHeight="1">
      <c r="J30" s="42"/>
    </row>
    <row r="31" spans="4:14" ht="15.75" customHeight="1"/>
    <row r="32" spans="4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N1"/>
    <mergeCell ref="D13:E13"/>
    <mergeCell ref="J13:N13"/>
    <mergeCell ref="D14:E14"/>
    <mergeCell ref="J14:N14"/>
    <mergeCell ref="D21:E21"/>
    <mergeCell ref="D22:E22"/>
    <mergeCell ref="D23:E23"/>
    <mergeCell ref="D24:E24"/>
    <mergeCell ref="D25:E25"/>
    <mergeCell ref="J15:N15"/>
    <mergeCell ref="J16:N16"/>
    <mergeCell ref="J18:N18"/>
    <mergeCell ref="D17:E17"/>
    <mergeCell ref="J17:N17"/>
    <mergeCell ref="D15:E15"/>
    <mergeCell ref="D16:E16"/>
  </mergeCells>
  <pageMargins left="0.511811024" right="0.511811024" top="0.78740157499999996" bottom="0.78740157499999996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2:H1000"/>
  <sheetViews>
    <sheetView workbookViewId="0"/>
  </sheetViews>
  <sheetFormatPr defaultColWidth="14.42578125" defaultRowHeight="15" customHeight="1"/>
  <cols>
    <col min="1" max="1" width="20" customWidth="1"/>
    <col min="2" max="2" width="31.28515625" customWidth="1"/>
    <col min="3" max="3" width="41.28515625" customWidth="1"/>
    <col min="4" max="5" width="8.7109375" customWidth="1"/>
    <col min="6" max="6" width="21.42578125" customWidth="1"/>
    <col min="7" max="7" width="21.7109375" customWidth="1"/>
    <col min="8" max="26" width="8.7109375" customWidth="1"/>
  </cols>
  <sheetData>
    <row r="2" spans="1:8">
      <c r="B2" s="33" t="s">
        <v>114</v>
      </c>
      <c r="C2" s="33" t="s">
        <v>115</v>
      </c>
    </row>
    <row r="3" spans="1:8">
      <c r="B3" s="26">
        <v>93</v>
      </c>
      <c r="C3" s="26">
        <v>111</v>
      </c>
    </row>
    <row r="4" spans="1:8">
      <c r="B4" s="26">
        <v>62</v>
      </c>
      <c r="C4" s="26">
        <v>113</v>
      </c>
    </row>
    <row r="5" spans="1:8">
      <c r="B5" s="26">
        <v>80</v>
      </c>
      <c r="C5" s="26">
        <v>100</v>
      </c>
      <c r="F5" s="4" t="s">
        <v>116</v>
      </c>
      <c r="G5" s="27">
        <f>B14+C14</f>
        <v>1287400</v>
      </c>
      <c r="H5" s="4"/>
    </row>
    <row r="6" spans="1:8">
      <c r="B6" s="43">
        <v>200</v>
      </c>
      <c r="C6" s="43"/>
      <c r="F6" s="4" t="s">
        <v>117</v>
      </c>
      <c r="G6" s="27">
        <f>B14</f>
        <v>772500</v>
      </c>
      <c r="H6" s="44">
        <v>0.6</v>
      </c>
    </row>
    <row r="7" spans="1:8">
      <c r="A7" s="45" t="s">
        <v>118</v>
      </c>
      <c r="B7" s="46">
        <f>B3+B4+B5+B6</f>
        <v>435</v>
      </c>
      <c r="C7" s="46">
        <f>SUM(C3:C5)</f>
        <v>324</v>
      </c>
      <c r="F7" s="4" t="s">
        <v>119</v>
      </c>
      <c r="G7" s="27">
        <f>C14</f>
        <v>514900</v>
      </c>
      <c r="H7" s="44">
        <v>0.4</v>
      </c>
    </row>
    <row r="8" spans="1:8">
      <c r="A8" s="4" t="s">
        <v>120</v>
      </c>
      <c r="B8" s="26">
        <v>1500</v>
      </c>
      <c r="C8" s="26">
        <v>1500</v>
      </c>
    </row>
    <row r="9" spans="1:8">
      <c r="A9" s="4" t="s">
        <v>121</v>
      </c>
      <c r="B9" s="47">
        <f t="shared" ref="B9:C9" si="0">B8*B7</f>
        <v>652500</v>
      </c>
      <c r="C9" s="47">
        <f t="shared" si="0"/>
        <v>486000</v>
      </c>
    </row>
    <row r="10" spans="1:8">
      <c r="A10" s="4" t="s">
        <v>122</v>
      </c>
      <c r="B10" s="40">
        <v>40000</v>
      </c>
      <c r="C10" s="4">
        <v>0</v>
      </c>
      <c r="F10" s="42">
        <v>1287400</v>
      </c>
      <c r="G10" s="22">
        <v>100</v>
      </c>
      <c r="H10" s="22" t="s">
        <v>25</v>
      </c>
    </row>
    <row r="11" spans="1:8">
      <c r="A11" s="4" t="s">
        <v>123</v>
      </c>
      <c r="B11" s="40">
        <v>80000</v>
      </c>
      <c r="C11" s="4">
        <v>0</v>
      </c>
      <c r="F11" s="42">
        <v>514900</v>
      </c>
      <c r="G11" s="48" t="s">
        <v>124</v>
      </c>
    </row>
    <row r="12" spans="1:8">
      <c r="A12" s="4" t="s">
        <v>125</v>
      </c>
      <c r="B12" s="4">
        <v>0</v>
      </c>
      <c r="C12" s="5">
        <v>28900</v>
      </c>
    </row>
    <row r="13" spans="1:8">
      <c r="A13" s="4"/>
      <c r="B13" s="4"/>
      <c r="C13" s="4"/>
      <c r="F13" s="49" t="s">
        <v>126</v>
      </c>
      <c r="G13" s="50">
        <f>F11*G10/F10</f>
        <v>39.995339443840301</v>
      </c>
      <c r="H13" s="49" t="s">
        <v>25</v>
      </c>
    </row>
    <row r="14" spans="1:8">
      <c r="A14" s="4" t="s">
        <v>127</v>
      </c>
      <c r="B14" s="51">
        <f>SUM(B9:B11)</f>
        <v>772500</v>
      </c>
      <c r="C14" s="51">
        <f>SUM(C9:C12)</f>
        <v>514900</v>
      </c>
    </row>
    <row r="21" spans="1:3" ht="15.75" customHeight="1">
      <c r="A21" s="78" t="s">
        <v>114</v>
      </c>
      <c r="B21" s="61"/>
      <c r="C21" s="26" t="s">
        <v>128</v>
      </c>
    </row>
    <row r="22" spans="1:3" ht="15.75" customHeight="1">
      <c r="A22" s="76" t="s">
        <v>129</v>
      </c>
      <c r="B22" s="61"/>
      <c r="C22" s="52" t="s">
        <v>130</v>
      </c>
    </row>
    <row r="23" spans="1:3" ht="15.75" customHeight="1">
      <c r="A23" s="76" t="s">
        <v>131</v>
      </c>
      <c r="B23" s="61"/>
      <c r="C23" s="52" t="s">
        <v>132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1:B21"/>
    <mergeCell ref="A22:B22"/>
    <mergeCell ref="A23:B23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1º Acerto</vt:lpstr>
      <vt:lpstr>2º Acerto </vt:lpstr>
      <vt:lpstr>3º Acerto</vt:lpstr>
      <vt:lpstr>4º Acerto</vt:lpstr>
      <vt:lpstr>5º Acerto</vt:lpstr>
      <vt:lpstr>6º Acerto</vt:lpstr>
      <vt:lpstr>7º Acerto</vt:lpstr>
      <vt:lpstr>8º Acerto</vt:lpstr>
      <vt:lpstr>9º Acerto</vt:lpstr>
      <vt:lpstr>10º Acerto</vt:lpstr>
      <vt:lpstr>11º Acerto</vt:lpstr>
      <vt:lpstr>12º Acerto</vt:lpstr>
      <vt:lpstr>Fechamento Ano</vt:lpstr>
      <vt:lpstr>Patrimonio Rossiny  Mãe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Rossiny</dc:creator>
  <cp:lastModifiedBy>Rossiny</cp:lastModifiedBy>
  <dcterms:created xsi:type="dcterms:W3CDTF">2024-09-11T19:50:00Z</dcterms:created>
  <dcterms:modified xsi:type="dcterms:W3CDTF">2024-12-02T14:09:31Z</dcterms:modified>
</cp:coreProperties>
</file>